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ocuments\Local-Projects\tms-case-study-tailwind\odoo-p2s\"/>
    </mc:Choice>
  </mc:AlternateContent>
  <xr:revisionPtr revIDLastSave="0" documentId="13_ncr:1_{CB6BBEAE-C1EC-4A4E-853D-3ABC4A56347D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Charter" sheetId="1" r:id="rId1"/>
    <sheet name="Milestones" sheetId="2" r:id="rId2"/>
    <sheet name="RAID" sheetId="3" r:id="rId3"/>
    <sheet name="KPIs" sheetId="4" r:id="rId4"/>
    <sheet name="Dashboard" sheetId="12" r:id="rId5"/>
    <sheet name="Dashboard_Data" sheetId="1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2" l="1"/>
  <c r="J5" i="12"/>
  <c r="Q14" i="11"/>
  <c r="P14" i="11"/>
  <c r="Q13" i="11"/>
  <c r="P13" i="11"/>
  <c r="Q12" i="11"/>
  <c r="P12" i="11"/>
  <c r="Q7" i="11"/>
  <c r="P7" i="11"/>
  <c r="Q6" i="11"/>
  <c r="P6" i="11"/>
  <c r="Q5" i="11"/>
  <c r="P5" i="11"/>
  <c r="Q4" i="11"/>
  <c r="P4" i="11"/>
  <c r="Q3" i="11"/>
  <c r="P3" i="11"/>
  <c r="L22" i="11"/>
  <c r="L23" i="11"/>
  <c r="L24" i="11"/>
  <c r="L25" i="11"/>
  <c r="L26" i="11"/>
  <c r="L27" i="11"/>
  <c r="L28" i="11"/>
  <c r="K25" i="11"/>
  <c r="J22" i="11"/>
  <c r="K22" i="11" s="1"/>
  <c r="J23" i="11"/>
  <c r="K23" i="11" s="1"/>
  <c r="J24" i="11"/>
  <c r="K24" i="11" s="1"/>
  <c r="J25" i="11"/>
  <c r="J26" i="11"/>
  <c r="K26" i="11" s="1"/>
  <c r="J27" i="11"/>
  <c r="K27" i="11" s="1"/>
  <c r="J28" i="11"/>
  <c r="K28" i="11" s="1"/>
  <c r="H12" i="11"/>
  <c r="I12" i="11" s="1"/>
  <c r="H13" i="11"/>
  <c r="I13" i="11" s="1"/>
  <c r="H14" i="11"/>
  <c r="I14" i="11" s="1"/>
  <c r="H15" i="11"/>
  <c r="I15" i="11" s="1"/>
  <c r="H16" i="11"/>
  <c r="I16" i="11" s="1"/>
  <c r="H17" i="11"/>
  <c r="I17" i="11" s="1"/>
  <c r="K3" i="11"/>
  <c r="K4" i="11"/>
  <c r="K5" i="11"/>
  <c r="K6" i="11"/>
  <c r="K7" i="11"/>
  <c r="J3" i="11"/>
  <c r="J4" i="11"/>
  <c r="J5" i="11"/>
  <c r="J6" i="11"/>
  <c r="J7" i="11"/>
  <c r="G11" i="2"/>
  <c r="F12" i="4"/>
  <c r="F14" i="4"/>
  <c r="E14" i="4"/>
  <c r="F13" i="4"/>
  <c r="B5" i="4" s="1"/>
  <c r="E13" i="4"/>
  <c r="H13" i="4" s="1"/>
  <c r="E12" i="4"/>
  <c r="H12" i="4" s="1"/>
  <c r="H25" i="4"/>
  <c r="G25" i="4"/>
  <c r="H24" i="4"/>
  <c r="G24" i="4"/>
  <c r="H23" i="4"/>
  <c r="G23" i="4"/>
  <c r="H22" i="4"/>
  <c r="G22" i="4"/>
  <c r="H21" i="4"/>
  <c r="G21" i="4"/>
  <c r="H20" i="4"/>
  <c r="G20" i="4"/>
  <c r="H16" i="4"/>
  <c r="G16" i="4"/>
  <c r="G15" i="4"/>
  <c r="F15" i="4"/>
  <c r="E15" i="4"/>
  <c r="H15" i="4" s="1"/>
  <c r="G14" i="4"/>
  <c r="G13" i="4"/>
  <c r="G12" i="4"/>
  <c r="G13" i="2"/>
  <c r="G12" i="2"/>
  <c r="G10" i="2"/>
  <c r="G9" i="2"/>
  <c r="G8" i="2"/>
  <c r="G7" i="2"/>
  <c r="G6" i="2"/>
  <c r="G5" i="2"/>
  <c r="G4" i="2"/>
  <c r="B5" i="12" l="1"/>
  <c r="F5" i="12"/>
  <c r="H28" i="4"/>
  <c r="G28" i="4"/>
  <c r="H27" i="4"/>
  <c r="G27" i="4"/>
  <c r="H26" i="4"/>
  <c r="G26" i="4"/>
  <c r="H14" i="4"/>
  <c r="B6" i="4"/>
  <c r="B4" i="4"/>
  <c r="B8" i="4" l="1"/>
  <c r="B7" i="4"/>
</calcChain>
</file>

<file path=xl/sharedStrings.xml><?xml version="1.0" encoding="utf-8"?>
<sst xmlns="http://schemas.openxmlformats.org/spreadsheetml/2006/main" count="431" uniqueCount="293">
  <si>
    <t>Odoo Procure-to-Ship: Project Charter</t>
  </si>
  <si>
    <t>Item</t>
  </si>
  <si>
    <t>Detail</t>
  </si>
  <si>
    <t>Project</t>
  </si>
  <si>
    <t>Odoo Procure-to-Ship Case Study</t>
  </si>
  <si>
    <t>Project lead</t>
  </si>
  <si>
    <t>Sawandi Kirby</t>
  </si>
  <si>
    <t>Company (fictional)</t>
  </si>
  <si>
    <t>Hearth &amp; Desk Supply Co., Pompano Beach FL</t>
  </si>
  <si>
    <t>System</t>
  </si>
  <si>
    <t>Odoo 20 trial: hearth-desk-supply-co.odoo.com (Inventory, Purchase, Manufacturing, Sales, Accounting)</t>
  </si>
  <si>
    <t>Objective</t>
  </si>
  <si>
    <t>Run procure-to-ship end to end for 7 customers and 5 vendors inside the Odoo trial, then deliver exports, a KPI dashboard and a public repo by 10/21.</t>
  </si>
  <si>
    <t>In scope</t>
  </si>
  <si>
    <t>Purchasing, manufacturing, shipping and carrier assignment, accounts payable</t>
  </si>
  <si>
    <t>Out of scope</t>
  </si>
  <si>
    <t>Payroll, CRM</t>
  </si>
  <si>
    <t>Constraints</t>
  </si>
  <si>
    <t>Trial expires 10/22/2026 and the database is deleted after capture. Vendor lead times compressed to 1-5 days so every receipt lands inside the trial.</t>
  </si>
  <si>
    <t>Success criteria</t>
  </si>
  <si>
    <t>Every sales order shipped. Both open vendor bills paid before export. KPIs reported against baseline. Repo Odoo-Procure-to-Ship-Case-Study pushed by 10/21.</t>
  </si>
  <si>
    <t>Start / finish</t>
  </si>
  <si>
    <t>Start 10/8/2026. Planned finish 10/21/2026. Buffer day 10/22.</t>
  </si>
  <si>
    <t>Baseline source</t>
  </si>
  <si>
    <t>Important_Plans\Odoo_Procurement_Planning_Case_Study_Design_2026-10-08.docx, with vendor-confirmed PO dates from 10/9</t>
  </si>
  <si>
    <t>Method note</t>
  </si>
  <si>
    <t>Disruptions in this project are designed scenarios. The responses, RAID logging and status reporting are done as events happen.</t>
  </si>
  <si>
    <t>Milestones: Baseline vs Actual</t>
  </si>
  <si>
    <t>ID</t>
  </si>
  <si>
    <t>Milestone</t>
  </si>
  <si>
    <t>Owner</t>
  </si>
  <si>
    <t>Baseline</t>
  </si>
  <si>
    <t>Forecast</t>
  </si>
  <si>
    <t>Actual</t>
  </si>
  <si>
    <t>Variance (days)</t>
  </si>
  <si>
    <t>Status</t>
  </si>
  <si>
    <t>M1</t>
  </si>
  <si>
    <t>Customers + wave 1 SOs entered, POs confirmed to all 5 vendors</t>
  </si>
  <si>
    <t>Sales / Purchasing</t>
  </si>
  <si>
    <t>Done</t>
  </si>
  <si>
    <t>M2</t>
  </si>
  <si>
    <t>Fastline + Packwell received, bills posted</t>
  </si>
  <si>
    <t>Purchasing / AP</t>
  </si>
  <si>
    <t>M3</t>
  </si>
  <si>
    <t>Ironcrest received + bill, Cable Tray MO produced</t>
  </si>
  <si>
    <t>Purchasing / Manufacturing</t>
  </si>
  <si>
    <t>M4</t>
  </si>
  <si>
    <t>Wave 2 SOs (4) confirmed</t>
  </si>
  <si>
    <t>Sales</t>
  </si>
  <si>
    <t>M5</t>
  </si>
  <si>
    <t>Brightform received, Laptop Riser MO produced, Replenishment rerun</t>
  </si>
  <si>
    <t>M6</t>
  </si>
  <si>
    <t>Greenline received in full</t>
  </si>
  <si>
    <t>Purchasing</t>
  </si>
  <si>
    <t>M7</t>
  </si>
  <si>
    <t>Remaining MOs complete (Desk Organizer, Monitor Stand)</t>
  </si>
  <si>
    <t>Manufacturing</t>
  </si>
  <si>
    <t>M8</t>
  </si>
  <si>
    <t>All SOs shipped, carrier assignment done</t>
  </si>
  <si>
    <t>Shipping</t>
  </si>
  <si>
    <t>M9</t>
  </si>
  <si>
    <t>Vendor bills paid, exports + KPI dashboard</t>
  </si>
  <si>
    <t>AP / Analytics</t>
  </si>
  <si>
    <t>M10</t>
  </si>
  <si>
    <t>Repo pushed, Odoo database deleted</t>
  </si>
  <si>
    <t>Trial ends</t>
  </si>
  <si>
    <t>Legend</t>
  </si>
  <si>
    <t>Baseline date</t>
  </si>
  <si>
    <t>Actual, on time or early</t>
  </si>
  <si>
    <t>Actual late, or forecast slip</t>
  </si>
  <si>
    <t>Variance uses Actual when filled, otherwise Forecast. Positive = days late.</t>
  </si>
  <si>
    <t>RAID Log: Risks, Assumptions, Issues, Decisions</t>
  </si>
  <si>
    <t>Type</t>
  </si>
  <si>
    <t>Date raised</t>
  </si>
  <si>
    <t>Description</t>
  </si>
  <si>
    <t>Impact</t>
  </si>
  <si>
    <t>Response</t>
  </si>
  <si>
    <t>R1</t>
  </si>
  <si>
    <t>Risk</t>
  </si>
  <si>
    <t>Trial expires 10/22. Any slip past 10/21 risks losing the database before exports.</t>
  </si>
  <si>
    <t>High</t>
  </si>
  <si>
    <t>Exports scheduled 10/20, buffer day 10/22, screenshots captured at each milestone.</t>
  </si>
  <si>
    <t>Open</t>
  </si>
  <si>
    <t>R2</t>
  </si>
  <si>
    <t>Greenline has the longest lead time (5 days) and is the only source for its components.</t>
  </si>
  <si>
    <t>Medium</t>
  </si>
  <si>
    <t>Watch the 10/14 due date. If late, request a partial shipment and reschedule the dependent MO.</t>
  </si>
  <si>
    <t>A1</t>
  </si>
  <si>
    <t>Assumption</t>
  </si>
  <si>
    <t>Vendor lead times compressed from 21/14/10/5/3 days to 5/3/2/1/1 so all receipts land inside the trial.</t>
  </si>
  <si>
    <t>Low</t>
  </si>
  <si>
    <t>Stated in the case study writeup.</t>
  </si>
  <si>
    <t>Accepted</t>
  </si>
  <si>
    <t>A2</t>
  </si>
  <si>
    <t>Coastal Express only serves FL, GA, NC and SC. Out-of-region orders need another carrier.</t>
  </si>
  <si>
    <t>D1</t>
  </si>
  <si>
    <t>Decision</t>
  </si>
  <si>
    <t>Order finished-goods reorder rules first so component demand traces back to MOs.</t>
  </si>
  <si>
    <t>MOs WH/MO/00001-00004 created before component POs.</t>
  </si>
  <si>
    <t>Closed</t>
  </si>
  <si>
    <t>D2</t>
  </si>
  <si>
    <t>Vendor-confirmed dates: Ironcrest 10/12, Brightform 10/13, Fastline + Packwell 10/10, Greenline 10/14.</t>
  </si>
  <si>
    <t>Written on PO lines and stock moves.</t>
  </si>
  <si>
    <t>D3</t>
  </si>
  <si>
    <t>Net 30 payment terms on all 5 vendors. Fastline + Packwell bills due 11/9.</t>
  </si>
  <si>
    <t>Bills reset to draft, term set, reposted.</t>
  </si>
  <si>
    <t>AP</t>
  </si>
  <si>
    <t>D4</t>
  </si>
  <si>
    <t>Keep Odoo's 6% purchase tax so bills match the POs.</t>
  </si>
  <si>
    <t>One-line change if reversed.</t>
  </si>
  <si>
    <t>D5</t>
  </si>
  <si>
    <t>Pay the Fastline + Packwell bills on 10/20 before exports, so AP data shows paid and unpaid side by side.</t>
  </si>
  <si>
    <t>KPI Dashboard</t>
  </si>
  <si>
    <t>KPI</t>
  </si>
  <si>
    <t>Value</t>
  </si>
  <si>
    <t>Formula</t>
  </si>
  <si>
    <t>Vendor on-time rate</t>
  </si>
  <si>
    <t>Receipts on or before expected date / receipts so far</t>
  </si>
  <si>
    <t>Vendor fill rate</t>
  </si>
  <si>
    <t>Qty received on first receipt / qty ordered, received POs only</t>
  </si>
  <si>
    <t>Schedule variance (avg days)</t>
  </si>
  <si>
    <t>Average of Milestones variance column (positive = late)</t>
  </si>
  <si>
    <t>Customer OTIF</t>
  </si>
  <si>
    <t>SOs shipped complete and on or before promised date / SOs shipped</t>
  </si>
  <si>
    <t>Order cycle time (avg days)</t>
  </si>
  <si>
    <t>Ship date minus confirm date, averaged over shipped SOs</t>
  </si>
  <si>
    <t>Vendor Receipts</t>
  </si>
  <si>
    <t>PO</t>
  </si>
  <si>
    <t>Vendor</t>
  </si>
  <si>
    <t>Expected</t>
  </si>
  <si>
    <t>Received</t>
  </si>
  <si>
    <t>Qty ordered</t>
  </si>
  <si>
    <t>Qty received (first receipt)</t>
  </si>
  <si>
    <t>On time (1/0)</t>
  </si>
  <si>
    <t>Fill rate</t>
  </si>
  <si>
    <t>P00001</t>
  </si>
  <si>
    <t>Greenline</t>
  </si>
  <si>
    <t>P00002</t>
  </si>
  <si>
    <t>Ironcrest</t>
  </si>
  <si>
    <t>P00003</t>
  </si>
  <si>
    <t>Brightform</t>
  </si>
  <si>
    <t>P00004</t>
  </si>
  <si>
    <t>Fastline</t>
  </si>
  <si>
    <t>P00005</t>
  </si>
  <si>
    <t>Packwell</t>
  </si>
  <si>
    <t>Customer Orders</t>
  </si>
  <si>
    <t>SO</t>
  </si>
  <si>
    <t>Customer</t>
  </si>
  <si>
    <t>Confirmed</t>
  </si>
  <si>
    <t>Promised</t>
  </si>
  <si>
    <t>Shipped</t>
  </si>
  <si>
    <t>Shipped complete (Y/N)</t>
  </si>
  <si>
    <t>OTIF (1/0)</t>
  </si>
  <si>
    <t>Cycle time (days)</t>
  </si>
  <si>
    <t>S00001</t>
  </si>
  <si>
    <t>Coastal Workspace Outfitters</t>
  </si>
  <si>
    <t>S00002</t>
  </si>
  <si>
    <t>Peachtree Office Interiors</t>
  </si>
  <si>
    <t>S00003</t>
  </si>
  <si>
    <t>Blue Ridge Learning Supply</t>
  </si>
  <si>
    <t>S00004</t>
  </si>
  <si>
    <t>Lowcountry Coworking Co.</t>
  </si>
  <si>
    <t>S00005</t>
  </si>
  <si>
    <t>Prairie Desk &amp; Chair</t>
  </si>
  <si>
    <t>S00006</t>
  </si>
  <si>
    <t>Volunteer State Business Supply</t>
  </si>
  <si>
    <t>S00007</t>
  </si>
  <si>
    <t>Lakeshore Remote Works</t>
  </si>
  <si>
    <t>S00008</t>
  </si>
  <si>
    <t>S00009</t>
  </si>
  <si>
    <t>Wave 2 SOs confirmed 10/12 (M4).</t>
  </si>
  <si>
    <t>I1</t>
  </si>
  <si>
    <t>Issue</t>
  </si>
  <si>
    <t>WH/MO/00004 posting error: components consumed (22 riser plates, 44 support arms, 44 hinge pins, 88 pads, 22 boxes) with 0 Laptop Risers recorded. MO cancelled.</t>
  </si>
  <si>
    <t>Same-day fix: inventory adjustment returned the components, replacement WH/MO/00005 produced 22. Check finished qty before marking an MO done.</t>
  </si>
  <si>
    <t>D6</t>
  </si>
  <si>
    <t>Replenishment rerun ordered Desk Organizer x11 (WH/MO/00006) and Cable Tray x12 (WH/MO/00007).</t>
  </si>
  <si>
    <t>Cable Tray components on hand. Desk Organizer waits on Greenline bamboo panels due 10/14, adding to R2.</t>
  </si>
  <si>
    <t>Closed (became I2)</t>
  </si>
  <si>
    <t>I2</t>
  </si>
  <si>
    <t>Greenline missed its 10/14 delivery. Partial delivery 10/15 (WH/IN/00001): 50 of 74 bamboo panels, 48 of 72 shelf boards. Remaining 24 + 24 on backorder WH/IN/00006, due 10/16.</t>
  </si>
  <si>
    <t>Received the partial 10/15. It covered all open Desk Organizer and Monitor Stand MOs, so M7 finished on its 10/15 baseline; the backorder refills stock. Backorder WH/IN/00006 received in full 10/16 (24 + 24); M6 closed 2 days late.</t>
  </si>
  <si>
    <t>Y</t>
  </si>
  <si>
    <t>Applied at carrier assignment in M8. 10/18: S00005 (KS) was booked on Coastal first; Odoo returned no Coastal option for a Kansas address, so it was rebooked on Bluepeak Freight.</t>
  </si>
  <si>
    <t>D7</t>
  </si>
  <si>
    <t>Out-of-region carrier: Bluepeak Freight for S00005 (KS) and S00006 (TN), the lowest cost serving those states ($19.18 and $33.48 vs Summit Parcel $25.32 and $43.52). S00007 (MI) goes on Summit Parcel to keep a second out-of-region carrier active.</t>
  </si>
  <si>
    <t>Purchase orders</t>
  </si>
  <si>
    <t>po</t>
  </si>
  <si>
    <t>vendor</t>
  </si>
  <si>
    <t>confirmed</t>
  </si>
  <si>
    <t>vendor_confirmed_due</t>
  </si>
  <si>
    <t>fully_received</t>
  </si>
  <si>
    <t>qty_ordered</t>
  </si>
  <si>
    <t>qty_received</t>
  </si>
  <si>
    <t>amount_untaxed</t>
  </si>
  <si>
    <t>amount_total</t>
  </si>
  <si>
    <t>Greenline Bamboo Supply</t>
  </si>
  <si>
    <t>Ironcrest Metalworks</t>
  </si>
  <si>
    <t>Brightform Aluminum</t>
  </si>
  <si>
    <t>Fastline Industrial</t>
  </si>
  <si>
    <t>Packwell Packaging</t>
  </si>
  <si>
    <t>Receipts</t>
  </si>
  <si>
    <t>receipt</t>
  </si>
  <si>
    <t>due</t>
  </si>
  <si>
    <t>received</t>
  </si>
  <si>
    <t>backorder_of</t>
  </si>
  <si>
    <t>WH/IN/00001</t>
  </si>
  <si>
    <t>WH/IN/00002</t>
  </si>
  <si>
    <t>WH/IN/00003</t>
  </si>
  <si>
    <t>WH/IN/00004</t>
  </si>
  <si>
    <t>WH/IN/00005</t>
  </si>
  <si>
    <t>WH/IN/00006</t>
  </si>
  <si>
    <t>Manufacturing orders (planned finish = milestone baseline)</t>
  </si>
  <si>
    <t>mo</t>
  </si>
  <si>
    <t>product</t>
  </si>
  <si>
    <t>qty_planned</t>
  </si>
  <si>
    <t>qty_produced</t>
  </si>
  <si>
    <t>state</t>
  </si>
  <si>
    <t>started</t>
  </si>
  <si>
    <t>finished</t>
  </si>
  <si>
    <t>planned_finish</t>
  </si>
  <si>
    <t>baseline_milestone</t>
  </si>
  <si>
    <t>WH/MO/00001</t>
  </si>
  <si>
    <t>[FG-001] Desk Organizer</t>
  </si>
  <si>
    <t>done</t>
  </si>
  <si>
    <t>WH/MO/00002</t>
  </si>
  <si>
    <t>[FG-002] Monitor Stand</t>
  </si>
  <si>
    <t>WH/MO/00003</t>
  </si>
  <si>
    <t>[FG-003] Cable Tray</t>
  </si>
  <si>
    <t>WH/MO/00004</t>
  </si>
  <si>
    <t>[FG-004] Laptop Riser</t>
  </si>
  <si>
    <t>cancel</t>
  </si>
  <si>
    <t>M5 (cancelled, I1)</t>
  </si>
  <si>
    <t>WH/MO/00005</t>
  </si>
  <si>
    <t>M5 (replaces 00004)</t>
  </si>
  <si>
    <t>WH/MO/00006</t>
  </si>
  <si>
    <t>WH/MO/00007</t>
  </si>
  <si>
    <t>Deliveries</t>
  </si>
  <si>
    <t>delivery</t>
  </si>
  <si>
    <t>so</t>
  </si>
  <si>
    <t>customer</t>
  </si>
  <si>
    <t>ship_to_state</t>
  </si>
  <si>
    <t>carrier</t>
  </si>
  <si>
    <t>weight_lb</t>
  </si>
  <si>
    <t>shipping_cost</t>
  </si>
  <si>
    <t>shipped</t>
  </si>
  <si>
    <t>WH/OUT/00001</t>
  </si>
  <si>
    <t>FL</t>
  </si>
  <si>
    <t>Coastal Express</t>
  </si>
  <si>
    <t>WH/OUT/00002</t>
  </si>
  <si>
    <t>GA</t>
  </si>
  <si>
    <t>WH/OUT/00003</t>
  </si>
  <si>
    <t>NC</t>
  </si>
  <si>
    <t>WH/OUT/00004</t>
  </si>
  <si>
    <t>SC</t>
  </si>
  <si>
    <t>WH/OUT/00005</t>
  </si>
  <si>
    <t>KS</t>
  </si>
  <si>
    <t>Bluepeak Freight</t>
  </si>
  <si>
    <t>WH/OUT/00006</t>
  </si>
  <si>
    <t>TN</t>
  </si>
  <si>
    <t>WH/OUT/00007</t>
  </si>
  <si>
    <t>MI</t>
  </si>
  <si>
    <t>Summit Parcel</t>
  </si>
  <si>
    <t>WH/OUT/00008</t>
  </si>
  <si>
    <t>WH/OUT/00009</t>
  </si>
  <si>
    <t>cycle_days</t>
  </si>
  <si>
    <t>on_time_first_receipt</t>
  </si>
  <si>
    <t>days_vs_due</t>
  </si>
  <si>
    <t>on_time</t>
  </si>
  <si>
    <t>days_vs_plan</t>
  </si>
  <si>
    <t>on_plan</t>
  </si>
  <si>
    <t>Receipts by vendor</t>
  </si>
  <si>
    <t>On time</t>
  </si>
  <si>
    <t>Late</t>
  </si>
  <si>
    <t>Shipping cost by carrier</t>
  </si>
  <si>
    <t>Carrier</t>
  </si>
  <si>
    <t>Orders</t>
  </si>
  <si>
    <t>Avg cost per order</t>
  </si>
  <si>
    <t>Procure-to-Ship KPI Dashboard</t>
  </si>
  <si>
    <t>Source: Odoo exports 10/20/2026 (Dashboard_Data). Every value is a formula.</t>
  </si>
  <si>
    <t>Avg PO cycle time (days)</t>
  </si>
  <si>
    <t>Confirm to full receipt</t>
  </si>
  <si>
    <t>First receipt by confirmed date</t>
  </si>
  <si>
    <t>MO schedule adherence</t>
  </si>
  <si>
    <t>Done MOs finished by baseline</t>
  </si>
  <si>
    <t>Avg shipping cost per order</t>
  </si>
  <si>
    <t>All 9 deliveries</t>
  </si>
  <si>
    <t>lead_days</t>
  </si>
  <si>
    <t>I3</t>
  </si>
  <si>
    <t>P00001 (Greenline) was received in full (WH/IN/00001 partial 10/15, backorder WH/IN/00006 10/16) but no vendor bill was entered. Odoo shows the PO as Waiting Bills; 4 of 5 POs are billed. Found 10/20 during the M9 export review.</t>
  </si>
  <si>
    <t>Scheduled in M9. Paid 10/20: BILL/2026/10/0001 $139.75 and BILL/2026/10/0002 $250.69; 0003 and 0004 stay open (due 11/11, 11/12).</t>
  </si>
  <si>
    <t>Carrier mix costs more on S00007; explained in status report #2. Cost comparison reported in status report #2.</t>
  </si>
  <si>
    <t>Enter and post the Greenline bill 10/21, matched to P00001 and both receipts, with Net 30 like the other four. Check every PO's billing status before close-out. Fixed 10/22: BILL/2026/10/0005 entered and posted for $1,039.86, 100% matched to P00001 and both receipts, Net 30 (due 11/21). All 5 POs now billed.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</si>
</sst>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d"/>
    <numFmt numFmtId="165" formatCode="0.0%"/>
    <numFmt numFmtId="166" formatCode="0.0"/>
    <numFmt numFmtId="167" formatCode="&quot;$&quot;#,##0.00"/>
    <numFmt numFmtId="168" formatCode="#,##0.0"/>
  </numFmts>
  <fonts count="16" x14ac:knownFonts="1">
    <font>
      <sz val="11"/>
      <color theme="1"/>
      <name val="Calibri"/>
      <family val="2"/>
      <scheme val="minor"/>
    </font>
    <font>
      <b/>
      <sz val="14"/>
      <color rgb="FF05467C"/>
      <name val="Calibri"/>
    </font>
    <font>
      <b/>
      <sz val="11"/>
      <color rgb="FFFFFFFF"/>
      <name val="Calibri"/>
    </font>
    <font>
      <b/>
      <sz val="11"/>
      <name val="Calibri"/>
    </font>
    <font>
      <i/>
      <sz val="8"/>
      <name val="Calibri"/>
    </font>
    <font>
      <b/>
      <sz val="12"/>
      <color rgb="FF05467C"/>
      <name val="Calibri"/>
    </font>
    <font>
      <i/>
      <sz val="11"/>
      <name val="Calibri"/>
    </font>
    <font>
      <i/>
      <sz val="9"/>
      <name val="Calibri"/>
    </font>
    <font>
      <b/>
      <sz val="12"/>
      <color rgb="FF03A6A5"/>
      <name val="Calibri"/>
    </font>
    <font>
      <b/>
      <sz val="12"/>
      <color rgb="FF05467C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05467C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22"/>
      <color rgb="FFFFFFFF"/>
      <name val="Calibri"/>
      <family val="2"/>
      <scheme val="minor"/>
    </font>
    <font>
      <sz val="9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5467C"/>
      </patternFill>
    </fill>
    <fill>
      <patternFill patternType="solid">
        <fgColor rgb="FF03A6A5"/>
      </patternFill>
    </fill>
    <fill>
      <patternFill patternType="solid">
        <fgColor rgb="FFC78A03"/>
      </patternFill>
    </fill>
    <fill>
      <patternFill patternType="solid">
        <fgColor rgb="FF05467C"/>
        <bgColor indexed="64"/>
      </patternFill>
    </fill>
    <fill>
      <patternFill patternType="solid">
        <fgColor rgb="FF03A6A5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2" fillId="2" borderId="1" xfId="0" applyNumberFormat="1" applyFont="1" applyFill="1" applyBorder="1" applyAlignment="1">
      <alignment horizontal="center" textRotation="90"/>
    </xf>
    <xf numFmtId="14" fontId="0" fillId="0" borderId="1" xfId="0" applyNumberFormat="1" applyBorder="1" applyAlignment="1">
      <alignment vertical="top" wrapText="1"/>
    </xf>
    <xf numFmtId="0" fontId="0" fillId="0" borderId="1" xfId="0" applyBorder="1"/>
    <xf numFmtId="0" fontId="4" fillId="0" borderId="0" xfId="0" applyFont="1"/>
    <xf numFmtId="0" fontId="5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6" fillId="0" borderId="0" xfId="0" applyFont="1"/>
    <xf numFmtId="165" fontId="8" fillId="0" borderId="1" xfId="0" applyNumberFormat="1" applyFont="1" applyBorder="1" applyAlignment="1">
      <alignment vertical="top" wrapText="1"/>
    </xf>
    <xf numFmtId="166" fontId="8" fillId="0" borderId="1" xfId="0" applyNumberFormat="1" applyFon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0" fontId="7" fillId="0" borderId="0" xfId="0" applyFont="1"/>
    <xf numFmtId="0" fontId="9" fillId="0" borderId="0" xfId="0" applyFont="1"/>
    <xf numFmtId="49" fontId="0" fillId="0" borderId="0" xfId="0" applyNumberFormat="1"/>
    <xf numFmtId="14" fontId="0" fillId="0" borderId="0" xfId="0" applyNumberFormat="1"/>
    <xf numFmtId="3" fontId="0" fillId="0" borderId="0" xfId="0" applyNumberFormat="1"/>
    <xf numFmtId="167" fontId="0" fillId="0" borderId="0" xfId="0" applyNumberFormat="1"/>
    <xf numFmtId="168" fontId="0" fillId="0" borderId="0" xfId="0" applyNumberFormat="1"/>
    <xf numFmtId="1" fontId="0" fillId="0" borderId="0" xfId="0" applyNumberFormat="1"/>
    <xf numFmtId="0" fontId="10" fillId="5" borderId="0" xfId="0" applyFont="1" applyFill="1"/>
    <xf numFmtId="0" fontId="11" fillId="0" borderId="0" xfId="0" applyFont="1"/>
    <xf numFmtId="0" fontId="12" fillId="0" borderId="0" xfId="0" applyFont="1"/>
    <xf numFmtId="0" fontId="13" fillId="5" borderId="0" xfId="0" applyFont="1" applyFill="1" applyAlignment="1">
      <alignment horizontal="center"/>
    </xf>
    <xf numFmtId="166" fontId="14" fillId="6" borderId="0" xfId="0" applyNumberFormat="1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9" fontId="14" fillId="6" borderId="0" xfId="0" applyNumberFormat="1" applyFont="1" applyFill="1" applyAlignment="1">
      <alignment horizontal="center"/>
    </xf>
    <xf numFmtId="167" fontId="14" fillId="6" borderId="0" xfId="0" applyNumberFormat="1" applyFont="1" applyFill="1" applyAlignment="1">
      <alignment horizontal="center"/>
    </xf>
  </cellXfs>
  <cellStyles count="1">
    <cellStyle name="Normal" xfId="0" builtinId="0"/>
  </cellStyles>
  <dxfs count="43">
    <dxf>
      <fill>
        <patternFill patternType="solid">
          <fgColor rgb="FF05467C"/>
          <bgColor rgb="FF05467C"/>
        </patternFill>
      </fill>
    </dxf>
    <dxf>
      <fill>
        <patternFill patternType="solid">
          <fgColor rgb="FFC78A03"/>
          <bgColor rgb="FFC78A03"/>
        </patternFill>
      </fill>
    </dxf>
    <dxf>
      <fill>
        <patternFill patternType="solid">
          <fgColor rgb="FF03A6A5"/>
          <bgColor rgb="FF03A6A5"/>
        </patternFill>
      </fill>
    </dxf>
    <dxf>
      <fill>
        <patternFill patternType="solid">
          <fgColor rgb="FFC78A03"/>
          <bgColor rgb="FFC78A03"/>
        </patternFill>
      </fill>
    </dxf>
    <dxf>
      <numFmt numFmtId="19" formatCode="m/d/yyyy"/>
    </dxf>
    <dxf>
      <numFmt numFmtId="167" formatCode="&quot;$&quot;#,##0.00"/>
    </dxf>
    <dxf>
      <numFmt numFmtId="168" formatCode="#,##0.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19" formatCode="m/d/yyyy"/>
    </dxf>
    <dxf>
      <numFmt numFmtId="19" formatCode="m/d/yyyy"/>
    </dxf>
    <dxf>
      <numFmt numFmtId="19" formatCode="m/d/yyyy"/>
    </dxf>
    <dxf>
      <numFmt numFmtId="30" formatCode="@"/>
    </dxf>
    <dxf>
      <numFmt numFmtId="3" formatCode="#,##0"/>
    </dxf>
    <dxf>
      <numFmt numFmtId="3" formatCode="#,##0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3" formatCode="#,##0"/>
    </dxf>
    <dxf>
      <numFmt numFmtId="19" formatCode="m/d/yyyy"/>
    </dxf>
    <dxf>
      <numFmt numFmtId="19" formatCode="m/d/yyyy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167" formatCode="&quot;$&quot;#,##0.00"/>
    </dxf>
    <dxf>
      <numFmt numFmtId="167" formatCode="&quot;$&quot;#,##0.00"/>
    </dxf>
    <dxf>
      <numFmt numFmtId="3" formatCode="#,##0"/>
    </dxf>
    <dxf>
      <numFmt numFmtId="3" formatCode="#,##0"/>
    </dxf>
    <dxf>
      <numFmt numFmtId="19" formatCode="m/d/yyyy"/>
    </dxf>
    <dxf>
      <numFmt numFmtId="19" formatCode="m/d/yyyy"/>
    </dxf>
    <dxf>
      <numFmt numFmtId="19" formatCode="m/d/yyyy"/>
    </dxf>
    <dxf>
      <numFmt numFmtId="30" formatCode="@"/>
    </dxf>
    <dxf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Vendor On-Time (1 = on time)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KPIs!$G$11</c:f>
              <c:strCache>
                <c:ptCount val="1"/>
                <c:pt idx="0">
                  <c:v>On time (1/0)</c:v>
                </c:pt>
              </c:strCache>
            </c:strRef>
          </c:tx>
          <c:spPr>
            <a:solidFill>
              <a:srgbClr val="03A6A5"/>
            </a:solidFill>
            <a:ln>
              <a:prstDash val="solid"/>
            </a:ln>
          </c:spPr>
          <c:invertIfNegative val="1"/>
          <c:cat>
            <c:strRef>
              <c:f>KPIs!$B$12:$B$16</c:f>
              <c:strCache>
                <c:ptCount val="5"/>
                <c:pt idx="0">
                  <c:v>Greenline</c:v>
                </c:pt>
                <c:pt idx="1">
                  <c:v>Ironcrest</c:v>
                </c:pt>
                <c:pt idx="2">
                  <c:v>Brightform</c:v>
                </c:pt>
                <c:pt idx="3">
                  <c:v>Fastline</c:v>
                </c:pt>
                <c:pt idx="4">
                  <c:v>Packwell</c:v>
                </c:pt>
              </c:strCache>
            </c:strRef>
          </c:cat>
          <c:val>
            <c:numRef>
              <c:f>KPIs!$G$12:$G$16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4CA-4D1B-81DE-6C91651AA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On time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Milestones: Baseline vs Actual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Milestones!$D$3</c:f>
              <c:strCache>
                <c:ptCount val="1"/>
                <c:pt idx="0">
                  <c:v>Baseline</c:v>
                </c:pt>
              </c:strCache>
            </c:strRef>
          </c:tx>
          <c:spPr>
            <a:ln>
              <a:solidFill>
                <a:srgbClr val="05467C"/>
              </a:solidFill>
              <a:prstDash val="solid"/>
            </a:ln>
          </c:spPr>
          <c:marker>
            <c:symbol val="none"/>
          </c:marker>
          <c:cat>
            <c:strRef>
              <c:f>Milestones!$A$4:$A$13</c:f>
              <c:strCache>
                <c:ptCount val="10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</c:strCache>
            </c:strRef>
          </c:cat>
          <c:val>
            <c:numRef>
              <c:f>Milestones!$D$4:$D$13</c:f>
              <c:numCache>
                <c:formatCode>m/d/yyyy</c:formatCode>
                <c:ptCount val="10"/>
                <c:pt idx="0">
                  <c:v>46304</c:v>
                </c:pt>
                <c:pt idx="1">
                  <c:v>46305</c:v>
                </c:pt>
                <c:pt idx="2">
                  <c:v>46307</c:v>
                </c:pt>
                <c:pt idx="3">
                  <c:v>46307</c:v>
                </c:pt>
                <c:pt idx="4">
                  <c:v>46308</c:v>
                </c:pt>
                <c:pt idx="5">
                  <c:v>46309</c:v>
                </c:pt>
                <c:pt idx="6">
                  <c:v>46310</c:v>
                </c:pt>
                <c:pt idx="7">
                  <c:v>46314</c:v>
                </c:pt>
                <c:pt idx="8">
                  <c:v>46315</c:v>
                </c:pt>
                <c:pt idx="9">
                  <c:v>46316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921-45EA-9493-E453D02EF924}"/>
            </c:ext>
          </c:extLst>
        </c:ser>
        <c:ser>
          <c:idx val="1"/>
          <c:order val="1"/>
          <c:tx>
            <c:strRef>
              <c:f>Milestones!$F$3</c:f>
              <c:strCache>
                <c:ptCount val="1"/>
                <c:pt idx="0">
                  <c:v>Actual</c:v>
                </c:pt>
              </c:strCache>
            </c:strRef>
          </c:tx>
          <c:spPr>
            <a:ln>
              <a:solidFill>
                <a:srgbClr val="03A6A5"/>
              </a:solidFill>
              <a:prstDash val="solid"/>
            </a:ln>
          </c:spPr>
          <c:marker>
            <c:symbol val="none"/>
          </c:marker>
          <c:cat>
            <c:strRef>
              <c:f>Milestones!$A$4:$A$13</c:f>
              <c:strCache>
                <c:ptCount val="10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</c:strCache>
            </c:strRef>
          </c:cat>
          <c:val>
            <c:numRef>
              <c:f>Milestones!$F$4:$F$13</c:f>
              <c:numCache>
                <c:formatCode>m/d/yyyy</c:formatCode>
                <c:ptCount val="10"/>
                <c:pt idx="0">
                  <c:v>46304</c:v>
                </c:pt>
                <c:pt idx="1">
                  <c:v>46305</c:v>
                </c:pt>
                <c:pt idx="2">
                  <c:v>46307</c:v>
                </c:pt>
                <c:pt idx="3">
                  <c:v>46307</c:v>
                </c:pt>
                <c:pt idx="4">
                  <c:v>46308</c:v>
                </c:pt>
                <c:pt idx="5">
                  <c:v>46311</c:v>
                </c:pt>
                <c:pt idx="6">
                  <c:v>46310</c:v>
                </c:pt>
                <c:pt idx="7">
                  <c:v>46314</c:v>
                </c:pt>
                <c:pt idx="8">
                  <c:v>46315</c:v>
                </c:pt>
                <c:pt idx="9">
                  <c:v>46317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921-45EA-9493-E453D02EF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overlay val="1"/>
        </c:title>
        <c:numFmt formatCode="m/d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 cycle time by vendor (days)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Dashboard_Data!$J$2</c:f>
              <c:strCache>
                <c:ptCount val="1"/>
                <c:pt idx="0">
                  <c:v>cycle_days</c:v>
                </c:pt>
              </c:strCache>
            </c:strRef>
          </c:tx>
          <c:spPr>
            <a:solidFill>
              <a:srgbClr val="03A6A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Dashboard_Data!$B$3:$B$7</c:f>
              <c:strCache>
                <c:ptCount val="5"/>
                <c:pt idx="0">
                  <c:v>Greenline Bamboo Supply</c:v>
                </c:pt>
                <c:pt idx="1">
                  <c:v>Ironcrest Metalworks</c:v>
                </c:pt>
                <c:pt idx="2">
                  <c:v>Brightform Aluminum</c:v>
                </c:pt>
                <c:pt idx="3">
                  <c:v>Fastline Industrial</c:v>
                </c:pt>
                <c:pt idx="4">
                  <c:v>Packwell Packaging</c:v>
                </c:pt>
              </c:strCache>
            </c:strRef>
          </c:cat>
          <c:val>
            <c:numRef>
              <c:f>Dashboard_Data!$J$3:$J$7</c:f>
              <c:numCache>
                <c:formatCode>0</c:formatCode>
                <c:ptCount val="5"/>
                <c:pt idx="0">
                  <c:v>7</c:v>
                </c:pt>
                <c:pt idx="1">
                  <c:v>3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BA-459B-ACE0-88F66B654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5682799"/>
        <c:axId val="1985677039"/>
      </c:barChart>
      <c:catAx>
        <c:axId val="198568279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677039"/>
        <c:crosses val="autoZero"/>
        <c:auto val="1"/>
        <c:lblAlgn val="ctr"/>
        <c:lblOffset val="100"/>
        <c:noMultiLvlLbl val="0"/>
      </c:catAx>
      <c:valAx>
        <c:axId val="198567703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682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Receipts on time vs late, by vendor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Dashboard_Data!$P$2</c:f>
              <c:strCache>
                <c:ptCount val="1"/>
                <c:pt idx="0">
                  <c:v>On time</c:v>
                </c:pt>
              </c:strCache>
            </c:strRef>
          </c:tx>
          <c:spPr>
            <a:solidFill>
              <a:srgbClr val="03A6A5"/>
            </a:solidFill>
            <a:ln>
              <a:noFill/>
            </a:ln>
            <a:effectLst/>
          </c:spPr>
          <c:invertIfNegative val="0"/>
          <c:dLbls>
            <c:numFmt formatCode="0;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Dashboard_Data!$O$3:$O$7</c:f>
              <c:strCache>
                <c:ptCount val="5"/>
                <c:pt idx="0">
                  <c:v>Greenline Bamboo Supply</c:v>
                </c:pt>
                <c:pt idx="1">
                  <c:v>Ironcrest Metalworks</c:v>
                </c:pt>
                <c:pt idx="2">
                  <c:v>Brightform Aluminum</c:v>
                </c:pt>
                <c:pt idx="3">
                  <c:v>Fastline Industrial</c:v>
                </c:pt>
                <c:pt idx="4">
                  <c:v>Packwell Packaging</c:v>
                </c:pt>
              </c:strCache>
            </c:strRef>
          </c:cat>
          <c:val>
            <c:numRef>
              <c:f>Dashboard_Data!$P$3:$P$7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F1-4C59-A8C4-A45B29D96A2C}"/>
            </c:ext>
          </c:extLst>
        </c:ser>
        <c:ser>
          <c:idx val="1"/>
          <c:order val="1"/>
          <c:tx>
            <c:strRef>
              <c:f>Dashboard_Data!$Q$2</c:f>
              <c:strCache>
                <c:ptCount val="1"/>
                <c:pt idx="0">
                  <c:v>Late</c:v>
                </c:pt>
              </c:strCache>
            </c:strRef>
          </c:tx>
          <c:spPr>
            <a:solidFill>
              <a:srgbClr val="C78A03"/>
            </a:solidFill>
            <a:ln>
              <a:noFill/>
            </a:ln>
            <a:effectLst/>
          </c:spPr>
          <c:invertIfNegative val="0"/>
          <c:dLbls>
            <c:numFmt formatCode="0;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Dashboard_Data!$O$3:$O$7</c:f>
              <c:strCache>
                <c:ptCount val="5"/>
                <c:pt idx="0">
                  <c:v>Greenline Bamboo Supply</c:v>
                </c:pt>
                <c:pt idx="1">
                  <c:v>Ironcrest Metalworks</c:v>
                </c:pt>
                <c:pt idx="2">
                  <c:v>Brightform Aluminum</c:v>
                </c:pt>
                <c:pt idx="3">
                  <c:v>Fastline Industrial</c:v>
                </c:pt>
                <c:pt idx="4">
                  <c:v>Packwell Packaging</c:v>
                </c:pt>
              </c:strCache>
            </c:strRef>
          </c:cat>
          <c:val>
            <c:numRef>
              <c:f>Dashboard_Data!$Q$3:$Q$7</c:f>
              <c:numCache>
                <c:formatCode>General</c:formatCode>
                <c:ptCount val="5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F1-4C59-A8C4-A45B29D96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85673199"/>
        <c:axId val="1985680399"/>
      </c:barChart>
      <c:catAx>
        <c:axId val="198567319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680399"/>
        <c:crosses val="autoZero"/>
        <c:auto val="1"/>
        <c:lblAlgn val="ctr"/>
        <c:lblOffset val="100"/>
        <c:noMultiLvlLbl val="0"/>
      </c:catAx>
      <c:valAx>
        <c:axId val="198568039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67319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 lead time, start to finish (days)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Dashboard_Data!$L$21</c:f>
              <c:strCache>
                <c:ptCount val="1"/>
                <c:pt idx="0">
                  <c:v>lead_days</c:v>
                </c:pt>
              </c:strCache>
            </c:strRef>
          </c:tx>
          <c:spPr>
            <a:solidFill>
              <a:srgbClr val="03A6A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Dashboard_Data!$A$22:$A$28</c:f>
              <c:strCache>
                <c:ptCount val="7"/>
                <c:pt idx="0">
                  <c:v>WH/MO/00001</c:v>
                </c:pt>
                <c:pt idx="1">
                  <c:v>WH/MO/00002</c:v>
                </c:pt>
                <c:pt idx="2">
                  <c:v>WH/MO/00003</c:v>
                </c:pt>
                <c:pt idx="3">
                  <c:v>WH/MO/00004</c:v>
                </c:pt>
                <c:pt idx="4">
                  <c:v>WH/MO/00005</c:v>
                </c:pt>
                <c:pt idx="5">
                  <c:v>WH/MO/00006</c:v>
                </c:pt>
                <c:pt idx="6">
                  <c:v>WH/MO/00007</c:v>
                </c:pt>
              </c:strCache>
            </c:strRef>
          </c:cat>
          <c:val>
            <c:numRef>
              <c:f>Dashboard_Data!$L$22:$L$28</c:f>
              <c:numCache>
                <c:formatCode>0</c:formatCode>
                <c:ptCount val="7"/>
                <c:pt idx="0">
                  <c:v>6</c:v>
                </c:pt>
                <c:pt idx="1">
                  <c:v>6</c:v>
                </c:pt>
                <c:pt idx="2">
                  <c:v>3</c:v>
                </c:pt>
                <c:pt idx="3">
                  <c:v>#N/A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E8-4EFA-8DEE-81CA4E21F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5677999"/>
        <c:axId val="1985633359"/>
      </c:barChart>
      <c:catAx>
        <c:axId val="198567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633359"/>
        <c:crosses val="autoZero"/>
        <c:auto val="1"/>
        <c:lblAlgn val="ctr"/>
        <c:lblOffset val="100"/>
        <c:noMultiLvlLbl val="0"/>
      </c:catAx>
      <c:valAx>
        <c:axId val="198563335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677999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shipping cost per order, by carrier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Dashboard_Data!$Q$11</c:f>
              <c:strCache>
                <c:ptCount val="1"/>
                <c:pt idx="0">
                  <c:v>Avg cost per order</c:v>
                </c:pt>
              </c:strCache>
            </c:strRef>
          </c:tx>
          <c:spPr>
            <a:solidFill>
              <a:srgbClr val="05467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Dashboard_Data!$O$12:$O$14</c:f>
              <c:strCache>
                <c:ptCount val="3"/>
                <c:pt idx="0">
                  <c:v>Coastal Express</c:v>
                </c:pt>
                <c:pt idx="1">
                  <c:v>Bluepeak Freight</c:v>
                </c:pt>
                <c:pt idx="2">
                  <c:v>Summit Parcel</c:v>
                </c:pt>
              </c:strCache>
            </c:strRef>
          </c:cat>
          <c:val>
            <c:numRef>
              <c:f>Dashboard_Data!$Q$12:$Q$14</c:f>
              <c:numCache>
                <c:formatCode>"$"#,##0.00</c:formatCode>
                <c:ptCount val="3"/>
                <c:pt idx="0">
                  <c:v>13.5</c:v>
                </c:pt>
                <c:pt idx="1">
                  <c:v>26.33</c:v>
                </c:pt>
                <c:pt idx="2">
                  <c:v>70.680000000000007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8A-4715-8926-2EDAB4043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5627119"/>
        <c:axId val="1985636719"/>
      </c:barChart>
      <c:catAx>
        <c:axId val="1985627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636719"/>
        <c:crosses val="autoZero"/>
        <c:auto val="1"/>
        <c:lblAlgn val="ctr"/>
        <c:lblOffset val="100"/>
        <c:noMultiLvlLbl val="0"/>
      </c:catAx>
      <c:valAx>
        <c:axId val="198563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627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17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8</xdr:col>
      <xdr:colOff>14288</xdr:colOff>
      <xdr:row>21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E2BEAF-C56C-AB4E-CAAB-D2B210EA09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166688</xdr:colOff>
      <xdr:row>6</xdr:row>
      <xdr:rowOff>0</xdr:rowOff>
    </xdr:from>
    <xdr:to>
      <xdr:col>16</xdr:col>
      <xdr:colOff>1</xdr:colOff>
      <xdr:row>21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65AA52-C37C-BA86-6948-B099C52584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22</xdr:row>
      <xdr:rowOff>25400</xdr:rowOff>
    </xdr:from>
    <xdr:to>
      <xdr:col>8</xdr:col>
      <xdr:colOff>14288</xdr:colOff>
      <xdr:row>37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BC6C07-60DD-CEC5-FF1A-4FEC92A413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166688</xdr:colOff>
      <xdr:row>22</xdr:row>
      <xdr:rowOff>25400</xdr:rowOff>
    </xdr:from>
    <xdr:to>
      <xdr:col>16</xdr:col>
      <xdr:colOff>1</xdr:colOff>
      <xdr:row>37</xdr:row>
      <xdr:rowOff>88900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79BE709-3F5B-B69E-04A1-3026657357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275C53-CCC4-4CBD-A6B1-420C86163EB7}" name="tblPO" displayName="tblPO" ref="A2:K7" totalsRowShown="0">
  <autoFilter ref="A2:K7" xr:uid="{C9275C53-CCC4-4CBD-A6B1-420C86163EB7}"/>
  <tableColumns count="11">
    <tableColumn id="1" xr3:uid="{FC90A6C5-B77C-497D-A16E-146842DC70D7}" name="po" dataDxfId="42"/>
    <tableColumn id="2" xr3:uid="{71BED40E-9899-4015-9AAA-8041D41E8B4F}" name="vendor" dataDxfId="41"/>
    <tableColumn id="3" xr3:uid="{7A562AEE-A9E8-4064-BCF2-C60EE1DDE391}" name="confirmed" dataDxfId="40"/>
    <tableColumn id="4" xr3:uid="{5C9A3444-9D47-4F11-B7E4-0EA1C2138FA1}" name="vendor_confirmed_due" dataDxfId="39"/>
    <tableColumn id="5" xr3:uid="{83D1602B-F5B0-40C0-B162-149F916E1BF1}" name="fully_received" dataDxfId="38"/>
    <tableColumn id="6" xr3:uid="{B91BFE0C-8A6A-47B2-A5A6-BEF10898D9DA}" name="qty_ordered" dataDxfId="37"/>
    <tableColumn id="7" xr3:uid="{1B31DCF9-4D36-4A88-8119-CE68EBE43F91}" name="qty_received" dataDxfId="36"/>
    <tableColumn id="8" xr3:uid="{87A60978-BE6F-468B-AF38-ADFAABA59F12}" name="amount_untaxed" dataDxfId="35"/>
    <tableColumn id="9" xr3:uid="{84F67FD4-4A22-44A7-B5B7-E25E4D32BDFC}" name="amount_total" dataDxfId="34"/>
    <tableColumn id="10" xr3:uid="{8EDE55CE-EE7F-4628-AD7A-62716A4671C8}" name="cycle_days" dataDxfId="33">
      <calculatedColumnFormula>tblPO[[#This Row],[fully_received]]-tblPO[[#This Row],[confirmed]]</calculatedColumnFormula>
    </tableColumn>
    <tableColumn id="11" xr3:uid="{ED2E4064-5BAD-44ED-8978-BB3C1DDC29DE}" name="on_time_first_receipt" dataDxfId="32">
      <calculatedColumnFormula>IF(_xlfn.MINIFS(tblReceipts[received],tblReceipts[po],tblPO[[#This Row],[po]])&lt;=tblPO[[#This Row],[vendor_confirmed_due]],1,0)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ADBEC9-0272-47E8-9328-F4693A690D2D}" name="tblReceipts" displayName="tblReceipts" ref="A11:I17" totalsRowShown="0">
  <autoFilter ref="A11:I17" xr:uid="{C6ADBEC9-0272-47E8-9328-F4693A690D2D}"/>
  <tableColumns count="9">
    <tableColumn id="1" xr3:uid="{72BE001B-2413-4E4D-9C49-4CE463BAE451}" name="receipt" dataDxfId="31"/>
    <tableColumn id="2" xr3:uid="{238F6A3F-DA4E-467B-BC7D-DC5F7C2851DD}" name="po" dataDxfId="30"/>
    <tableColumn id="3" xr3:uid="{95D34686-5120-420A-948D-C6731D879749}" name="vendor" dataDxfId="29"/>
    <tableColumn id="4" xr3:uid="{47940761-6899-4F53-BEDE-7B8E2386EBF1}" name="due" dataDxfId="28"/>
    <tableColumn id="5" xr3:uid="{BDB5E2FD-D4FA-40CD-BFC5-67945CB6C54C}" name="received" dataDxfId="27"/>
    <tableColumn id="6" xr3:uid="{682D1DB4-78DA-40D9-8892-804FACD08817}" name="qty_received" dataDxfId="26"/>
    <tableColumn id="7" xr3:uid="{AFF6E251-2BF9-470D-9C14-B783EBCF5008}" name="backorder_of"/>
    <tableColumn id="8" xr3:uid="{DB785648-C062-46A3-8751-9FA4916C12E5}" name="days_vs_due" dataDxfId="25">
      <calculatedColumnFormula>tblReceipts[[#This Row],[received]]-tblReceipts[[#This Row],[due]]</calculatedColumnFormula>
    </tableColumn>
    <tableColumn id="9" xr3:uid="{79A15D6E-8DA5-4285-8ED8-3EE463DDBEB2}" name="on_time" dataDxfId="24">
      <calculatedColumnFormula>IF(tblReceipts[[#This Row],[days_vs_due]]&lt;=0,1,0)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9AA92B-8B60-4343-B8C0-A939D43BFCE1}" name="tblMO" displayName="tblMO" ref="A21:L28" totalsRowShown="0">
  <autoFilter ref="A21:L28" xr:uid="{3D9AA92B-8B60-4343-B8C0-A939D43BFCE1}"/>
  <tableColumns count="12">
    <tableColumn id="1" xr3:uid="{AF2E8EA0-FBB4-451E-B060-C9AA912F082E}" name="mo" dataDxfId="23"/>
    <tableColumn id="2" xr3:uid="{066B3EED-D078-463C-A229-CD4369C74924}" name="product" dataDxfId="22"/>
    <tableColumn id="3" xr3:uid="{C26D0A78-7D72-4E22-8FFF-5780F3EF0C1B}" name="qty_planned" dataDxfId="21"/>
    <tableColumn id="4" xr3:uid="{934E43E0-8795-4CDC-A49D-84989F8C5BA6}" name="qty_produced" dataDxfId="20"/>
    <tableColumn id="5" xr3:uid="{10627509-AB91-4F5B-8504-90A13AB58D9B}" name="state" dataDxfId="19"/>
    <tableColumn id="6" xr3:uid="{D5249541-487D-4852-93BF-471B6D34555A}" name="started" dataDxfId="18"/>
    <tableColumn id="7" xr3:uid="{A2101783-E26F-4B64-A4D8-18C08A6BEA9D}" name="finished" dataDxfId="17"/>
    <tableColumn id="8" xr3:uid="{C6714B61-CF75-4F86-B672-D358B17B9973}" name="planned_finish" dataDxfId="16"/>
    <tableColumn id="9" xr3:uid="{37931F2B-B7B4-40A1-B349-4EB4ED71A8E8}" name="baseline_milestone" dataDxfId="15"/>
    <tableColumn id="10" xr3:uid="{AFB08810-7065-44F8-A414-4E05D5317F12}" name="days_vs_plan" dataDxfId="14">
      <calculatedColumnFormula>IF(tblMO[[#This Row],[state]]="done",tblMO[[#This Row],[finished]]-tblMO[[#This Row],[planned_finish]],NA())</calculatedColumnFormula>
    </tableColumn>
    <tableColumn id="11" xr3:uid="{E017E4AE-2A3A-4498-825E-D3370B2A1B30}" name="on_plan" dataDxfId="13">
      <calculatedColumnFormula>IF(tblMO[[#This Row],[state]]="done",IF(tblMO[[#This Row],[days_vs_plan]]&lt;=0,1,0),"")</calculatedColumnFormula>
    </tableColumn>
    <tableColumn id="12" xr3:uid="{0A58B4F1-0E95-4BC0-A4D3-197435563F24}" name="lead_days" dataDxfId="12">
      <calculatedColumnFormula>IF(tblMO[[#This Row],[state]]="done",tblMO[[#This Row],[finished]]-tblMO[[#This Row],[started]],NA())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431C148-9BD3-40C4-B226-D0D4437E6DC3}" name="tblShip" displayName="tblShip" ref="A32:H41" totalsRowShown="0">
  <autoFilter ref="A32:H41" xr:uid="{7431C148-9BD3-40C4-B226-D0D4437E6DC3}"/>
  <tableColumns count="8">
    <tableColumn id="1" xr3:uid="{3BD04D05-455A-4FD8-84DA-B7D831D7281A}" name="delivery" dataDxfId="11"/>
    <tableColumn id="2" xr3:uid="{B20D4C7A-D369-408F-8DB9-E44117EACB50}" name="so" dataDxfId="10"/>
    <tableColumn id="3" xr3:uid="{A1BD07F7-CADC-4D83-9FCA-DFFE095732A6}" name="customer" dataDxfId="9"/>
    <tableColumn id="4" xr3:uid="{D92ED03A-06EB-45C7-A6A2-4B435AB7AF30}" name="ship_to_state" dataDxfId="8"/>
    <tableColumn id="5" xr3:uid="{D634F74C-25A4-4925-BAA1-0590C37948AE}" name="carrier" dataDxfId="7"/>
    <tableColumn id="6" xr3:uid="{4ABDA904-13E4-44D4-B87C-9F98DBBA8CAD}" name="weight_lb" dataDxfId="6"/>
    <tableColumn id="7" xr3:uid="{6CAA8066-27E9-4FD7-9411-C74CFCC3D5DE}" name="shipping_cost" dataDxfId="5"/>
    <tableColumn id="8" xr3:uid="{79C85386-B37E-4FFD-9F73-FAE69B7DB030}" name="shipped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/>
  </sheetViews>
  <sheetFormatPr defaultRowHeight="15" x14ac:dyDescent="0.25"/>
  <cols>
    <col min="1" max="1" width="22" customWidth="1"/>
    <col min="2" max="2" width="100" customWidth="1"/>
  </cols>
  <sheetData>
    <row r="1" spans="1:2" ht="18.75" x14ac:dyDescent="0.3">
      <c r="A1" s="1" t="s">
        <v>0</v>
      </c>
    </row>
    <row r="3" spans="1:2" x14ac:dyDescent="0.25">
      <c r="A3" s="2" t="s">
        <v>1</v>
      </c>
      <c r="B3" s="2" t="s">
        <v>2</v>
      </c>
    </row>
    <row r="4" spans="1:2" x14ac:dyDescent="0.25">
      <c r="A4" s="3" t="s">
        <v>3</v>
      </c>
      <c r="B4" s="4" t="s">
        <v>4</v>
      </c>
    </row>
    <row r="5" spans="1:2" x14ac:dyDescent="0.25">
      <c r="A5" s="3" t="s">
        <v>5</v>
      </c>
      <c r="B5" s="4" t="s">
        <v>6</v>
      </c>
    </row>
    <row r="6" spans="1:2" x14ac:dyDescent="0.25">
      <c r="A6" s="3" t="s">
        <v>7</v>
      </c>
      <c r="B6" s="4" t="s">
        <v>8</v>
      </c>
    </row>
    <row r="7" spans="1:2" x14ac:dyDescent="0.25">
      <c r="A7" s="3" t="s">
        <v>9</v>
      </c>
      <c r="B7" s="4" t="s">
        <v>10</v>
      </c>
    </row>
    <row r="8" spans="1:2" ht="30" x14ac:dyDescent="0.25">
      <c r="A8" s="3" t="s">
        <v>11</v>
      </c>
      <c r="B8" s="4" t="s">
        <v>12</v>
      </c>
    </row>
    <row r="9" spans="1:2" x14ac:dyDescent="0.25">
      <c r="A9" s="3" t="s">
        <v>13</v>
      </c>
      <c r="B9" s="4" t="s">
        <v>14</v>
      </c>
    </row>
    <row r="10" spans="1:2" x14ac:dyDescent="0.25">
      <c r="A10" s="3" t="s">
        <v>15</v>
      </c>
      <c r="B10" s="4" t="s">
        <v>16</v>
      </c>
    </row>
    <row r="11" spans="1:2" ht="30" x14ac:dyDescent="0.25">
      <c r="A11" s="3" t="s">
        <v>17</v>
      </c>
      <c r="B11" s="4" t="s">
        <v>18</v>
      </c>
    </row>
    <row r="12" spans="1:2" ht="30" x14ac:dyDescent="0.25">
      <c r="A12" s="3" t="s">
        <v>19</v>
      </c>
      <c r="B12" s="4" t="s">
        <v>20</v>
      </c>
    </row>
    <row r="13" spans="1:2" x14ac:dyDescent="0.25">
      <c r="A13" s="3" t="s">
        <v>21</v>
      </c>
      <c r="B13" s="4" t="s">
        <v>22</v>
      </c>
    </row>
    <row r="14" spans="1:2" ht="30" x14ac:dyDescent="0.25">
      <c r="A14" s="3" t="s">
        <v>23</v>
      </c>
      <c r="B14" s="4" t="s">
        <v>24</v>
      </c>
    </row>
    <row r="15" spans="1:2" ht="30" x14ac:dyDescent="0.25">
      <c r="A15" s="3" t="s">
        <v>25</v>
      </c>
      <c r="B15" s="4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0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2" width="58" customWidth="1"/>
    <col min="3" max="3" width="24" customWidth="1"/>
    <col min="4" max="6" width="11" customWidth="1"/>
    <col min="7" max="7" width="10" customWidth="1"/>
    <col min="8" max="8" width="12" customWidth="1"/>
    <col min="9" max="9" width="2" customWidth="1"/>
    <col min="10" max="24" width="4" customWidth="1"/>
  </cols>
  <sheetData>
    <row r="1" spans="1:24" ht="18.75" x14ac:dyDescent="0.3">
      <c r="A1" s="1" t="s">
        <v>27</v>
      </c>
    </row>
    <row r="3" spans="1:24" ht="39.950000000000003" customHeight="1" x14ac:dyDescent="0.25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J3" s="5">
        <v>46303</v>
      </c>
      <c r="K3" s="5">
        <v>46304</v>
      </c>
      <c r="L3" s="5">
        <v>46305</v>
      </c>
      <c r="M3" s="5">
        <v>46306</v>
      </c>
      <c r="N3" s="5">
        <v>46307</v>
      </c>
      <c r="O3" s="5">
        <v>46308</v>
      </c>
      <c r="P3" s="5">
        <v>46309</v>
      </c>
      <c r="Q3" s="5">
        <v>46310</v>
      </c>
      <c r="R3" s="5">
        <v>46311</v>
      </c>
      <c r="S3" s="5">
        <v>46312</v>
      </c>
      <c r="T3" s="5">
        <v>46313</v>
      </c>
      <c r="U3" s="5">
        <v>46314</v>
      </c>
      <c r="V3" s="5">
        <v>46315</v>
      </c>
      <c r="W3" s="5">
        <v>46316</v>
      </c>
      <c r="X3" s="5">
        <v>46317</v>
      </c>
    </row>
    <row r="4" spans="1:24" ht="30" x14ac:dyDescent="0.25">
      <c r="A4" s="4" t="s">
        <v>36</v>
      </c>
      <c r="B4" s="4" t="s">
        <v>37</v>
      </c>
      <c r="C4" s="4" t="s">
        <v>38</v>
      </c>
      <c r="D4" s="6">
        <v>46304</v>
      </c>
      <c r="E4" s="6"/>
      <c r="F4" s="6">
        <v>46304</v>
      </c>
      <c r="G4" s="4">
        <f t="shared" ref="G4:G13" si="0">IF(F4&lt;&gt;"",F4-D4,IF(E4&lt;&gt;"",E4-D4,""))</f>
        <v>0</v>
      </c>
      <c r="H4" s="4" t="s">
        <v>39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25">
      <c r="A5" s="4" t="s">
        <v>40</v>
      </c>
      <c r="B5" s="4" t="s">
        <v>41</v>
      </c>
      <c r="C5" s="4" t="s">
        <v>42</v>
      </c>
      <c r="D5" s="6">
        <v>46305</v>
      </c>
      <c r="E5" s="6"/>
      <c r="F5" s="6">
        <v>46305</v>
      </c>
      <c r="G5" s="4">
        <f t="shared" si="0"/>
        <v>0</v>
      </c>
      <c r="H5" s="4" t="s">
        <v>39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 ht="30" x14ac:dyDescent="0.25">
      <c r="A6" s="4" t="s">
        <v>43</v>
      </c>
      <c r="B6" s="4" t="s">
        <v>44</v>
      </c>
      <c r="C6" s="4" t="s">
        <v>45</v>
      </c>
      <c r="D6" s="6">
        <v>46307</v>
      </c>
      <c r="E6" s="6"/>
      <c r="F6" s="6">
        <v>46307</v>
      </c>
      <c r="G6" s="4">
        <f t="shared" si="0"/>
        <v>0</v>
      </c>
      <c r="H6" s="4" t="s">
        <v>39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x14ac:dyDescent="0.25">
      <c r="A7" s="4" t="s">
        <v>46</v>
      </c>
      <c r="B7" s="4" t="s">
        <v>47</v>
      </c>
      <c r="C7" s="4" t="s">
        <v>48</v>
      </c>
      <c r="D7" s="6">
        <v>46307</v>
      </c>
      <c r="E7" s="6"/>
      <c r="F7" s="6">
        <v>46307</v>
      </c>
      <c r="G7" s="4">
        <f t="shared" si="0"/>
        <v>0</v>
      </c>
      <c r="H7" s="4" t="s">
        <v>39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 ht="30" x14ac:dyDescent="0.25">
      <c r="A8" s="4" t="s">
        <v>49</v>
      </c>
      <c r="B8" s="4" t="s">
        <v>50</v>
      </c>
      <c r="C8" s="4" t="s">
        <v>45</v>
      </c>
      <c r="D8" s="6">
        <v>46308</v>
      </c>
      <c r="E8" s="6"/>
      <c r="F8" s="6">
        <v>46308</v>
      </c>
      <c r="G8" s="4">
        <f t="shared" si="0"/>
        <v>0</v>
      </c>
      <c r="H8" s="4" t="s">
        <v>39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 x14ac:dyDescent="0.25">
      <c r="A9" s="4" t="s">
        <v>51</v>
      </c>
      <c r="B9" s="4" t="s">
        <v>52</v>
      </c>
      <c r="C9" s="4" t="s">
        <v>53</v>
      </c>
      <c r="D9" s="6">
        <v>46309</v>
      </c>
      <c r="E9" s="6">
        <v>46311</v>
      </c>
      <c r="F9" s="6">
        <v>46311</v>
      </c>
      <c r="G9" s="4">
        <f t="shared" si="0"/>
        <v>2</v>
      </c>
      <c r="H9" s="4" t="s">
        <v>39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x14ac:dyDescent="0.25">
      <c r="A10" s="4" t="s">
        <v>54</v>
      </c>
      <c r="B10" s="4" t="s">
        <v>55</v>
      </c>
      <c r="C10" s="4" t="s">
        <v>56</v>
      </c>
      <c r="D10" s="6">
        <v>46310</v>
      </c>
      <c r="E10" s="6"/>
      <c r="F10" s="6">
        <v>46310</v>
      </c>
      <c r="G10" s="4">
        <f t="shared" si="0"/>
        <v>0</v>
      </c>
      <c r="H10" s="4" t="s">
        <v>39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x14ac:dyDescent="0.25">
      <c r="A11" s="4" t="s">
        <v>57</v>
      </c>
      <c r="B11" s="4" t="s">
        <v>58</v>
      </c>
      <c r="C11" s="4" t="s">
        <v>59</v>
      </c>
      <c r="D11" s="6">
        <v>46314</v>
      </c>
      <c r="E11" s="6">
        <v>46314</v>
      </c>
      <c r="F11" s="6">
        <v>46314</v>
      </c>
      <c r="G11" s="4">
        <f t="shared" si="0"/>
        <v>0</v>
      </c>
      <c r="H11" s="4" t="s">
        <v>39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 x14ac:dyDescent="0.25">
      <c r="A12" s="4" t="s">
        <v>60</v>
      </c>
      <c r="B12" s="4" t="s">
        <v>61</v>
      </c>
      <c r="C12" s="4" t="s">
        <v>62</v>
      </c>
      <c r="D12" s="6">
        <v>46315</v>
      </c>
      <c r="E12" s="6"/>
      <c r="F12" s="6">
        <v>46315</v>
      </c>
      <c r="G12" s="4">
        <f t="shared" si="0"/>
        <v>0</v>
      </c>
      <c r="H12" s="4" t="s">
        <v>39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 x14ac:dyDescent="0.25">
      <c r="A13" s="4" t="s">
        <v>63</v>
      </c>
      <c r="B13" s="4" t="s">
        <v>64</v>
      </c>
      <c r="C13" s="4" t="s">
        <v>5</v>
      </c>
      <c r="D13" s="6">
        <v>46316</v>
      </c>
      <c r="E13" s="6">
        <v>46317</v>
      </c>
      <c r="F13" s="6">
        <v>46317</v>
      </c>
      <c r="G13" s="4">
        <f t="shared" si="0"/>
        <v>1</v>
      </c>
      <c r="H13" s="4" t="s">
        <v>39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 x14ac:dyDescent="0.25">
      <c r="X14" s="8" t="s">
        <v>65</v>
      </c>
    </row>
    <row r="16" spans="1:24" ht="15.75" x14ac:dyDescent="0.25">
      <c r="B16" s="9" t="s">
        <v>66</v>
      </c>
    </row>
    <row r="17" spans="1:2" x14ac:dyDescent="0.25">
      <c r="A17" s="10"/>
      <c r="B17" t="s">
        <v>67</v>
      </c>
    </row>
    <row r="18" spans="1:2" x14ac:dyDescent="0.25">
      <c r="A18" s="11"/>
      <c r="B18" t="s">
        <v>68</v>
      </c>
    </row>
    <row r="19" spans="1:2" x14ac:dyDescent="0.25">
      <c r="A19" s="12"/>
      <c r="B19" t="s">
        <v>69</v>
      </c>
    </row>
    <row r="20" spans="1:2" x14ac:dyDescent="0.25">
      <c r="B20" s="13" t="s">
        <v>70</v>
      </c>
    </row>
  </sheetData>
  <conditionalFormatting sqref="J4:X13">
    <cfRule type="expression" dxfId="3" priority="1" stopIfTrue="1">
      <formula>AND(J$3=$F4,$F4&gt;$D4)</formula>
    </cfRule>
    <cfRule type="expression" dxfId="2" priority="2" stopIfTrue="1">
      <formula>J$3=$F4</formula>
    </cfRule>
    <cfRule type="expression" dxfId="1" priority="3" stopIfTrue="1">
      <formula>AND($F4="",J$3=$E4,$E4&gt;$D4)</formula>
    </cfRule>
    <cfRule type="expression" dxfId="0" priority="4" stopIfTrue="1">
      <formula>J$3=$D4</formula>
    </cfRule>
  </conditionalFormatting>
  <dataValidations count="1">
    <dataValidation type="list" allowBlank="1" sqref="H4:H13" xr:uid="{00000000-0002-0000-0100-000000000000}">
      <formula1>"Not started,On track,At risk,Late,Done"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workbookViewId="0">
      <pane ySplit="3" topLeftCell="A15" activePane="bottomLeft" state="frozen"/>
      <selection pane="bottomLeft" activeCell="A18" sqref="A18:XFD18"/>
    </sheetView>
  </sheetViews>
  <sheetFormatPr defaultRowHeight="15" x14ac:dyDescent="0.25"/>
  <cols>
    <col min="1" max="1" width="6" customWidth="1"/>
    <col min="2" max="3" width="12" customWidth="1"/>
    <col min="4" max="4" width="60" customWidth="1"/>
    <col min="5" max="5" width="9" customWidth="1"/>
    <col min="6" max="6" width="55" customWidth="1"/>
    <col min="7" max="7" width="14" customWidth="1"/>
    <col min="8" max="8" width="10" customWidth="1"/>
  </cols>
  <sheetData>
    <row r="1" spans="1:8" ht="18.75" x14ac:dyDescent="0.3">
      <c r="A1" s="1" t="s">
        <v>71</v>
      </c>
    </row>
    <row r="3" spans="1:8" x14ac:dyDescent="0.25">
      <c r="A3" s="2" t="s">
        <v>28</v>
      </c>
      <c r="B3" s="2" t="s">
        <v>72</v>
      </c>
      <c r="C3" s="2" t="s">
        <v>73</v>
      </c>
      <c r="D3" s="2" t="s">
        <v>74</v>
      </c>
      <c r="E3" s="2" t="s">
        <v>75</v>
      </c>
      <c r="F3" s="2" t="s">
        <v>76</v>
      </c>
      <c r="G3" s="2" t="s">
        <v>30</v>
      </c>
      <c r="H3" s="2" t="s">
        <v>35</v>
      </c>
    </row>
    <row r="4" spans="1:8" ht="30" x14ac:dyDescent="0.25">
      <c r="A4" s="4" t="s">
        <v>77</v>
      </c>
      <c r="B4" s="4" t="s">
        <v>78</v>
      </c>
      <c r="C4" s="6">
        <v>46303</v>
      </c>
      <c r="D4" s="4" t="s">
        <v>79</v>
      </c>
      <c r="E4" s="4" t="s">
        <v>80</v>
      </c>
      <c r="F4" s="4" t="s">
        <v>81</v>
      </c>
      <c r="G4" s="4" t="s">
        <v>5</v>
      </c>
      <c r="H4" s="4" t="s">
        <v>82</v>
      </c>
    </row>
    <row r="5" spans="1:8" ht="45" x14ac:dyDescent="0.25">
      <c r="A5" s="4" t="s">
        <v>83</v>
      </c>
      <c r="B5" s="4" t="s">
        <v>78</v>
      </c>
      <c r="C5" s="6">
        <v>46304</v>
      </c>
      <c r="D5" s="4" t="s">
        <v>84</v>
      </c>
      <c r="E5" s="4" t="s">
        <v>85</v>
      </c>
      <c r="F5" s="4" t="s">
        <v>86</v>
      </c>
      <c r="G5" s="4" t="s">
        <v>53</v>
      </c>
      <c r="H5" s="4" t="s">
        <v>178</v>
      </c>
    </row>
    <row r="6" spans="1:8" ht="30" x14ac:dyDescent="0.25">
      <c r="A6" s="4" t="s">
        <v>87</v>
      </c>
      <c r="B6" s="4" t="s">
        <v>88</v>
      </c>
      <c r="C6" s="6">
        <v>46303</v>
      </c>
      <c r="D6" s="4" t="s">
        <v>89</v>
      </c>
      <c r="E6" s="4" t="s">
        <v>90</v>
      </c>
      <c r="F6" s="4" t="s">
        <v>91</v>
      </c>
      <c r="G6" s="4" t="s">
        <v>5</v>
      </c>
      <c r="H6" s="4" t="s">
        <v>92</v>
      </c>
    </row>
    <row r="7" spans="1:8" ht="60" x14ac:dyDescent="0.25">
      <c r="A7" s="4" t="s">
        <v>93</v>
      </c>
      <c r="B7" s="4" t="s">
        <v>88</v>
      </c>
      <c r="C7" s="6">
        <v>46303</v>
      </c>
      <c r="D7" s="4" t="s">
        <v>94</v>
      </c>
      <c r="E7" s="4" t="s">
        <v>90</v>
      </c>
      <c r="F7" s="4" t="s">
        <v>183</v>
      </c>
      <c r="G7" s="4" t="s">
        <v>59</v>
      </c>
      <c r="H7" s="4" t="s">
        <v>92</v>
      </c>
    </row>
    <row r="8" spans="1:8" ht="30" x14ac:dyDescent="0.25">
      <c r="A8" s="4" t="s">
        <v>95</v>
      </c>
      <c r="B8" s="4" t="s">
        <v>96</v>
      </c>
      <c r="C8" s="6">
        <v>46304</v>
      </c>
      <c r="D8" s="4" t="s">
        <v>97</v>
      </c>
      <c r="E8" s="4" t="s">
        <v>85</v>
      </c>
      <c r="F8" s="4" t="s">
        <v>98</v>
      </c>
      <c r="G8" s="4" t="s">
        <v>5</v>
      </c>
      <c r="H8" s="4" t="s">
        <v>99</v>
      </c>
    </row>
    <row r="9" spans="1:8" ht="30" x14ac:dyDescent="0.25">
      <c r="A9" s="4" t="s">
        <v>100</v>
      </c>
      <c r="B9" s="4" t="s">
        <v>96</v>
      </c>
      <c r="C9" s="6">
        <v>46304</v>
      </c>
      <c r="D9" s="4" t="s">
        <v>101</v>
      </c>
      <c r="E9" s="4" t="s">
        <v>85</v>
      </c>
      <c r="F9" s="4" t="s">
        <v>102</v>
      </c>
      <c r="G9" s="4" t="s">
        <v>53</v>
      </c>
      <c r="H9" s="4" t="s">
        <v>99</v>
      </c>
    </row>
    <row r="10" spans="1:8" ht="30" x14ac:dyDescent="0.25">
      <c r="A10" s="4" t="s">
        <v>103</v>
      </c>
      <c r="B10" s="4" t="s">
        <v>96</v>
      </c>
      <c r="C10" s="6">
        <v>46305</v>
      </c>
      <c r="D10" s="4" t="s">
        <v>104</v>
      </c>
      <c r="E10" s="4" t="s">
        <v>90</v>
      </c>
      <c r="F10" s="4" t="s">
        <v>105</v>
      </c>
      <c r="G10" s="4" t="s">
        <v>106</v>
      </c>
      <c r="H10" s="4" t="s">
        <v>99</v>
      </c>
    </row>
    <row r="11" spans="1:8" x14ac:dyDescent="0.25">
      <c r="A11" s="4" t="s">
        <v>107</v>
      </c>
      <c r="B11" s="4" t="s">
        <v>96</v>
      </c>
      <c r="C11" s="6">
        <v>46305</v>
      </c>
      <c r="D11" s="4" t="s">
        <v>108</v>
      </c>
      <c r="E11" s="4" t="s">
        <v>90</v>
      </c>
      <c r="F11" s="4" t="s">
        <v>109</v>
      </c>
      <c r="G11" s="4" t="s">
        <v>106</v>
      </c>
      <c r="H11" s="4" t="s">
        <v>99</v>
      </c>
    </row>
    <row r="12" spans="1:8" ht="45" x14ac:dyDescent="0.25">
      <c r="A12" s="4" t="s">
        <v>110</v>
      </c>
      <c r="B12" s="4" t="s">
        <v>96</v>
      </c>
      <c r="C12" s="6">
        <v>46305</v>
      </c>
      <c r="D12" s="4" t="s">
        <v>111</v>
      </c>
      <c r="E12" s="4" t="s">
        <v>90</v>
      </c>
      <c r="F12" s="4" t="s">
        <v>290</v>
      </c>
      <c r="G12" s="4" t="s">
        <v>106</v>
      </c>
      <c r="H12" s="4" t="s">
        <v>99</v>
      </c>
    </row>
    <row r="13" spans="1:8" ht="45" x14ac:dyDescent="0.25">
      <c r="A13" s="4" t="s">
        <v>171</v>
      </c>
      <c r="B13" s="4" t="s">
        <v>172</v>
      </c>
      <c r="C13" s="6">
        <v>46308</v>
      </c>
      <c r="D13" s="4" t="s">
        <v>173</v>
      </c>
      <c r="E13" s="4" t="s">
        <v>85</v>
      </c>
      <c r="F13" s="4" t="s">
        <v>174</v>
      </c>
      <c r="G13" s="4" t="s">
        <v>56</v>
      </c>
      <c r="H13" s="4" t="s">
        <v>99</v>
      </c>
    </row>
    <row r="14" spans="1:8" ht="30" x14ac:dyDescent="0.25">
      <c r="A14" s="4" t="s">
        <v>175</v>
      </c>
      <c r="B14" s="4" t="s">
        <v>96</v>
      </c>
      <c r="C14" s="6">
        <v>46308</v>
      </c>
      <c r="D14" s="4" t="s">
        <v>176</v>
      </c>
      <c r="E14" s="4" t="s">
        <v>85</v>
      </c>
      <c r="F14" s="4" t="s">
        <v>177</v>
      </c>
      <c r="G14" s="4" t="s">
        <v>45</v>
      </c>
      <c r="H14" s="4" t="s">
        <v>99</v>
      </c>
    </row>
    <row r="16" spans="1:8" ht="75" x14ac:dyDescent="0.25">
      <c r="A16" s="4" t="s">
        <v>179</v>
      </c>
      <c r="B16" s="4" t="s">
        <v>172</v>
      </c>
      <c r="C16" s="6">
        <v>46309</v>
      </c>
      <c r="D16" s="4" t="s">
        <v>180</v>
      </c>
      <c r="E16" s="4" t="s">
        <v>85</v>
      </c>
      <c r="F16" s="4" t="s">
        <v>181</v>
      </c>
      <c r="G16" s="4" t="s">
        <v>53</v>
      </c>
      <c r="H16" s="4" t="s">
        <v>99</v>
      </c>
    </row>
    <row r="17" spans="1:8" ht="60" x14ac:dyDescent="0.25">
      <c r="A17" s="4" t="s">
        <v>184</v>
      </c>
      <c r="B17" s="4" t="s">
        <v>96</v>
      </c>
      <c r="C17" s="6">
        <v>46313</v>
      </c>
      <c r="D17" s="4" t="s">
        <v>185</v>
      </c>
      <c r="E17" s="4" t="s">
        <v>90</v>
      </c>
      <c r="F17" s="4" t="s">
        <v>291</v>
      </c>
      <c r="G17" s="4" t="s">
        <v>59</v>
      </c>
      <c r="H17" s="4" t="s">
        <v>99</v>
      </c>
    </row>
    <row r="18" spans="1:8" ht="90" x14ac:dyDescent="0.25">
      <c r="A18" s="4" t="s">
        <v>288</v>
      </c>
      <c r="B18" s="4" t="s">
        <v>172</v>
      </c>
      <c r="C18" s="6">
        <v>46315</v>
      </c>
      <c r="D18" s="4" t="s">
        <v>289</v>
      </c>
      <c r="E18" s="4" t="s">
        <v>85</v>
      </c>
      <c r="F18" s="4" t="s">
        <v>292</v>
      </c>
      <c r="G18" s="4" t="s">
        <v>106</v>
      </c>
      <c r="H18" s="4" t="s">
        <v>99</v>
      </c>
    </row>
    <row r="19" spans="1:8" x14ac:dyDescent="0.25">
      <c r="A19" s="4"/>
      <c r="B19" s="4"/>
      <c r="C19" s="6"/>
      <c r="D19" s="4"/>
      <c r="E19" s="4"/>
      <c r="F19" s="4"/>
      <c r="G19" s="4"/>
      <c r="H19" s="4"/>
    </row>
    <row r="20" spans="1:8" x14ac:dyDescent="0.25">
      <c r="A20" s="4"/>
      <c r="B20" s="4"/>
      <c r="C20" s="6"/>
      <c r="D20" s="4"/>
      <c r="E20" s="4"/>
      <c r="F20" s="4"/>
      <c r="G20" s="4"/>
      <c r="H20" s="4"/>
    </row>
    <row r="21" spans="1:8" x14ac:dyDescent="0.25">
      <c r="A21" s="4"/>
      <c r="B21" s="4"/>
      <c r="C21" s="6"/>
      <c r="D21" s="4"/>
      <c r="E21" s="4"/>
      <c r="F21" s="4"/>
      <c r="G21" s="4"/>
      <c r="H21" s="4"/>
    </row>
    <row r="22" spans="1:8" x14ac:dyDescent="0.25">
      <c r="A22" s="4"/>
      <c r="B22" s="4"/>
      <c r="C22" s="6"/>
      <c r="D22" s="4"/>
      <c r="E22" s="4"/>
      <c r="F22" s="4"/>
      <c r="G22" s="4"/>
      <c r="H22" s="4"/>
    </row>
  </sheetData>
  <dataValidations count="3">
    <dataValidation type="list" allowBlank="1" sqref="B4:B14 B16:B22" xr:uid="{00000000-0002-0000-0200-000000000000}">
      <formula1>"Risk,Assumption,Issue,Decision"</formula1>
    </dataValidation>
    <dataValidation type="list" allowBlank="1" sqref="E4:E14 E16:E22" xr:uid="{00000000-0002-0000-0200-000001000000}">
      <formula1>"High,Medium,Low"</formula1>
    </dataValidation>
    <dataValidation type="list" allowBlank="1" sqref="H4:H14 H16:H22" xr:uid="{00000000-0002-0000-0200-000002000000}">
      <formula1>"Open,Accepted,Closed"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"/>
  <sheetViews>
    <sheetView topLeftCell="A12" workbookViewId="0">
      <selection activeCell="A25" sqref="A25:F28"/>
    </sheetView>
  </sheetViews>
  <sheetFormatPr defaultRowHeight="15" x14ac:dyDescent="0.25"/>
  <cols>
    <col min="1" max="1" width="30" customWidth="1"/>
    <col min="2" max="2" width="28" customWidth="1"/>
    <col min="3" max="3" width="16" customWidth="1"/>
    <col min="4" max="5" width="12" customWidth="1"/>
    <col min="6" max="6" width="16" customWidth="1"/>
    <col min="7" max="7" width="12" customWidth="1"/>
    <col min="8" max="8" width="14" customWidth="1"/>
  </cols>
  <sheetData>
    <row r="1" spans="1:8" ht="18.75" x14ac:dyDescent="0.3">
      <c r="A1" s="1" t="s">
        <v>112</v>
      </c>
    </row>
    <row r="3" spans="1:8" x14ac:dyDescent="0.25">
      <c r="A3" s="2" t="s">
        <v>113</v>
      </c>
      <c r="B3" s="2" t="s">
        <v>114</v>
      </c>
      <c r="C3" s="2" t="s">
        <v>115</v>
      </c>
    </row>
    <row r="4" spans="1:8" ht="60" x14ac:dyDescent="0.25">
      <c r="A4" s="3" t="s">
        <v>116</v>
      </c>
      <c r="B4" s="14">
        <f>IFERROR(SUM(G12:G16)/COUNT(G12:G16),"")</f>
        <v>0.8</v>
      </c>
      <c r="C4" s="4" t="s">
        <v>117</v>
      </c>
    </row>
    <row r="5" spans="1:8" ht="75" x14ac:dyDescent="0.25">
      <c r="A5" s="3" t="s">
        <v>118</v>
      </c>
      <c r="B5" s="14">
        <f>IFERROR(SUM(F12:F16)/SUMIF(D12:D16,"&lt;&gt;",E12:E16),"")</f>
        <v>0.98222222222222222</v>
      </c>
      <c r="C5" s="4" t="s">
        <v>119</v>
      </c>
    </row>
    <row r="6" spans="1:8" ht="60" x14ac:dyDescent="0.25">
      <c r="A6" s="3" t="s">
        <v>120</v>
      </c>
      <c r="B6" s="15">
        <f>IFERROR(AVERAGE(Milestones!G4:G13),"")</f>
        <v>0.3</v>
      </c>
      <c r="C6" s="4" t="s">
        <v>121</v>
      </c>
    </row>
    <row r="7" spans="1:8" ht="75" x14ac:dyDescent="0.25">
      <c r="A7" s="3" t="s">
        <v>122</v>
      </c>
      <c r="B7" s="14">
        <f>IFERROR(SUM(G20:G28)/COUNT(G20:G28),"")</f>
        <v>1</v>
      </c>
      <c r="C7" s="4" t="s">
        <v>123</v>
      </c>
    </row>
    <row r="8" spans="1:8" ht="60" x14ac:dyDescent="0.25">
      <c r="A8" s="3" t="s">
        <v>124</v>
      </c>
      <c r="B8" s="15">
        <f>IFERROR(AVERAGE(H20:H28),"")</f>
        <v>7.666666666666667</v>
      </c>
      <c r="C8" s="4" t="s">
        <v>125</v>
      </c>
    </row>
    <row r="10" spans="1:8" ht="15.75" x14ac:dyDescent="0.25">
      <c r="A10" s="9" t="s">
        <v>126</v>
      </c>
    </row>
    <row r="11" spans="1:8" ht="30" x14ac:dyDescent="0.25">
      <c r="A11" s="2" t="s">
        <v>127</v>
      </c>
      <c r="B11" s="2" t="s">
        <v>128</v>
      </c>
      <c r="C11" s="2" t="s">
        <v>129</v>
      </c>
      <c r="D11" s="2" t="s">
        <v>130</v>
      </c>
      <c r="E11" s="2" t="s">
        <v>131</v>
      </c>
      <c r="F11" s="2" t="s">
        <v>132</v>
      </c>
      <c r="G11" s="2" t="s">
        <v>133</v>
      </c>
      <c r="H11" s="2" t="s">
        <v>134</v>
      </c>
    </row>
    <row r="12" spans="1:8" x14ac:dyDescent="0.25">
      <c r="A12" s="4" t="s">
        <v>135</v>
      </c>
      <c r="B12" s="4" t="s">
        <v>136</v>
      </c>
      <c r="C12" s="6">
        <v>46309</v>
      </c>
      <c r="D12" s="6">
        <v>46310</v>
      </c>
      <c r="E12" s="4">
        <f>74+72</f>
        <v>146</v>
      </c>
      <c r="F12" s="4">
        <f>50+48</f>
        <v>98</v>
      </c>
      <c r="G12" s="4">
        <f>IF(D12="","",IF(D12&lt;=C12,1,0))</f>
        <v>0</v>
      </c>
      <c r="H12" s="16">
        <f>IF(OR(E12="",F12=""),"",F12/E12)</f>
        <v>0.67123287671232879</v>
      </c>
    </row>
    <row r="13" spans="1:8" x14ac:dyDescent="0.25">
      <c r="A13" s="4" t="s">
        <v>137</v>
      </c>
      <c r="B13" s="4" t="s">
        <v>138</v>
      </c>
      <c r="C13" s="6">
        <v>46307</v>
      </c>
      <c r="D13" s="6">
        <v>46307</v>
      </c>
      <c r="E13" s="4">
        <f>104+87+114</f>
        <v>305</v>
      </c>
      <c r="F13" s="4">
        <f>104+87+114</f>
        <v>305</v>
      </c>
      <c r="G13" s="4">
        <f>IF(D13="","",IF(D13&lt;=C13,1,0))</f>
        <v>1</v>
      </c>
      <c r="H13" s="16">
        <f>IF(OR(E13="",F13=""),"",F13/E13)</f>
        <v>1</v>
      </c>
    </row>
    <row r="14" spans="1:8" x14ac:dyDescent="0.25">
      <c r="A14" s="4" t="s">
        <v>139</v>
      </c>
      <c r="B14" s="4" t="s">
        <v>140</v>
      </c>
      <c r="C14" s="6">
        <v>46308</v>
      </c>
      <c r="D14" s="6">
        <v>46308</v>
      </c>
      <c r="E14" s="4">
        <f>82+104+104</f>
        <v>290</v>
      </c>
      <c r="F14" s="4">
        <f>82+104+104</f>
        <v>290</v>
      </c>
      <c r="G14" s="4">
        <f>IF(D14="","",IF(D14&lt;=C14,1,0))</f>
        <v>1</v>
      </c>
      <c r="H14" s="16">
        <f>IF(OR(E14="",F14=""),"",F14/E14)</f>
        <v>1</v>
      </c>
    </row>
    <row r="15" spans="1:8" x14ac:dyDescent="0.25">
      <c r="A15" s="4" t="s">
        <v>141</v>
      </c>
      <c r="B15" s="4" t="s">
        <v>142</v>
      </c>
      <c r="C15" s="6">
        <v>46305</v>
      </c>
      <c r="D15" s="6">
        <v>46305</v>
      </c>
      <c r="E15" s="4">
        <f>776+968</f>
        <v>1744</v>
      </c>
      <c r="F15" s="4">
        <f>776+968</f>
        <v>1744</v>
      </c>
      <c r="G15" s="4">
        <f>IF(D15="","",IF(D15&lt;=C15,1,0))</f>
        <v>1</v>
      </c>
      <c r="H15" s="16">
        <f>IF(OR(E15="",F15=""),"",F15/E15)</f>
        <v>1</v>
      </c>
    </row>
    <row r="16" spans="1:8" x14ac:dyDescent="0.25">
      <c r="A16" s="4" t="s">
        <v>143</v>
      </c>
      <c r="B16" s="4" t="s">
        <v>144</v>
      </c>
      <c r="C16" s="6">
        <v>46305</v>
      </c>
      <c r="D16" s="6">
        <v>46305</v>
      </c>
      <c r="E16" s="4">
        <v>215</v>
      </c>
      <c r="F16" s="4">
        <v>215</v>
      </c>
      <c r="G16" s="4">
        <f>IF(D16="","",IF(D16&lt;=C16,1,0))</f>
        <v>1</v>
      </c>
      <c r="H16" s="16">
        <f>IF(OR(E16="",F16=""),"",F16/E16)</f>
        <v>1</v>
      </c>
    </row>
    <row r="18" spans="1:8" ht="15.75" x14ac:dyDescent="0.25">
      <c r="A18" s="9" t="s">
        <v>145</v>
      </c>
    </row>
    <row r="19" spans="1:8" ht="30" x14ac:dyDescent="0.25">
      <c r="A19" s="2" t="s">
        <v>146</v>
      </c>
      <c r="B19" s="2" t="s">
        <v>147</v>
      </c>
      <c r="C19" s="2" t="s">
        <v>148</v>
      </c>
      <c r="D19" s="2" t="s">
        <v>149</v>
      </c>
      <c r="E19" s="2" t="s">
        <v>150</v>
      </c>
      <c r="F19" s="2" t="s">
        <v>151</v>
      </c>
      <c r="G19" s="2" t="s">
        <v>152</v>
      </c>
      <c r="H19" s="2" t="s">
        <v>153</v>
      </c>
    </row>
    <row r="20" spans="1:8" x14ac:dyDescent="0.25">
      <c r="A20" s="4" t="s">
        <v>154</v>
      </c>
      <c r="B20" s="4" t="s">
        <v>155</v>
      </c>
      <c r="C20" s="6">
        <v>46304</v>
      </c>
      <c r="D20" s="6">
        <v>46314</v>
      </c>
      <c r="E20" s="6">
        <v>46312</v>
      </c>
      <c r="F20" s="4" t="s">
        <v>182</v>
      </c>
      <c r="G20" s="4">
        <f t="shared" ref="G20:G28" si="0">IF(E20="","",IF(AND(UPPER(F20)="Y",E20&lt;=D20),1,0))</f>
        <v>1</v>
      </c>
      <c r="H20" s="4">
        <f t="shared" ref="H20:H28" si="1">IF(OR(C20="",E20=""),"",E20-C20)</f>
        <v>8</v>
      </c>
    </row>
    <row r="21" spans="1:8" x14ac:dyDescent="0.25">
      <c r="A21" s="4" t="s">
        <v>156</v>
      </c>
      <c r="B21" s="4" t="s">
        <v>157</v>
      </c>
      <c r="C21" s="6">
        <v>46304</v>
      </c>
      <c r="D21" s="6">
        <v>46314</v>
      </c>
      <c r="E21" s="6">
        <v>46312</v>
      </c>
      <c r="F21" s="4" t="s">
        <v>182</v>
      </c>
      <c r="G21" s="4">
        <f t="shared" si="0"/>
        <v>1</v>
      </c>
      <c r="H21" s="4">
        <f t="shared" si="1"/>
        <v>8</v>
      </c>
    </row>
    <row r="22" spans="1:8" x14ac:dyDescent="0.25">
      <c r="A22" s="4" t="s">
        <v>158</v>
      </c>
      <c r="B22" s="4" t="s">
        <v>159</v>
      </c>
      <c r="C22" s="6">
        <v>46304</v>
      </c>
      <c r="D22" s="6">
        <v>46314</v>
      </c>
      <c r="E22" s="6">
        <v>46312</v>
      </c>
      <c r="F22" s="4" t="s">
        <v>182</v>
      </c>
      <c r="G22" s="4">
        <f t="shared" si="0"/>
        <v>1</v>
      </c>
      <c r="H22" s="4">
        <f t="shared" si="1"/>
        <v>8</v>
      </c>
    </row>
    <row r="23" spans="1:8" x14ac:dyDescent="0.25">
      <c r="A23" s="4" t="s">
        <v>160</v>
      </c>
      <c r="B23" s="4" t="s">
        <v>161</v>
      </c>
      <c r="C23" s="6">
        <v>46304</v>
      </c>
      <c r="D23" s="6">
        <v>46314</v>
      </c>
      <c r="E23" s="6">
        <v>46313</v>
      </c>
      <c r="F23" s="4" t="s">
        <v>182</v>
      </c>
      <c r="G23" s="4">
        <f t="shared" si="0"/>
        <v>1</v>
      </c>
      <c r="H23" s="4">
        <f t="shared" si="1"/>
        <v>9</v>
      </c>
    </row>
    <row r="24" spans="1:8" x14ac:dyDescent="0.25">
      <c r="A24" s="4" t="s">
        <v>162</v>
      </c>
      <c r="B24" s="4" t="s">
        <v>163</v>
      </c>
      <c r="C24" s="6">
        <v>46304</v>
      </c>
      <c r="D24" s="6">
        <v>46314</v>
      </c>
      <c r="E24" s="6">
        <v>46313</v>
      </c>
      <c r="F24" s="4" t="s">
        <v>182</v>
      </c>
      <c r="G24" s="4">
        <f t="shared" si="0"/>
        <v>1</v>
      </c>
      <c r="H24" s="4">
        <f t="shared" si="1"/>
        <v>9</v>
      </c>
    </row>
    <row r="25" spans="1:8" ht="30" x14ac:dyDescent="0.25">
      <c r="A25" s="4" t="s">
        <v>164</v>
      </c>
      <c r="B25" s="4" t="s">
        <v>165</v>
      </c>
      <c r="C25" s="6">
        <v>46307</v>
      </c>
      <c r="D25" s="6">
        <v>46314</v>
      </c>
      <c r="E25" s="6">
        <v>46313</v>
      </c>
      <c r="F25" s="4" t="s">
        <v>182</v>
      </c>
      <c r="G25" s="4">
        <f t="shared" si="0"/>
        <v>1</v>
      </c>
      <c r="H25" s="4">
        <f t="shared" si="1"/>
        <v>6</v>
      </c>
    </row>
    <row r="26" spans="1:8" x14ac:dyDescent="0.25">
      <c r="A26" s="4" t="s">
        <v>166</v>
      </c>
      <c r="B26" s="4" t="s">
        <v>167</v>
      </c>
      <c r="C26" s="6">
        <v>46307</v>
      </c>
      <c r="D26" s="6">
        <v>46314</v>
      </c>
      <c r="E26" s="6">
        <v>46314</v>
      </c>
      <c r="F26" s="4" t="s">
        <v>182</v>
      </c>
      <c r="G26" s="4">
        <f t="shared" si="0"/>
        <v>1</v>
      </c>
      <c r="H26" s="4">
        <f t="shared" si="1"/>
        <v>7</v>
      </c>
    </row>
    <row r="27" spans="1:8" x14ac:dyDescent="0.25">
      <c r="A27" s="4" t="s">
        <v>168</v>
      </c>
      <c r="B27" s="4" t="s">
        <v>155</v>
      </c>
      <c r="C27" s="6">
        <v>46307</v>
      </c>
      <c r="D27" s="6">
        <v>46314</v>
      </c>
      <c r="E27" s="6">
        <v>46314</v>
      </c>
      <c r="F27" s="4" t="s">
        <v>182</v>
      </c>
      <c r="G27" s="4">
        <f t="shared" si="0"/>
        <v>1</v>
      </c>
      <c r="H27" s="4">
        <f t="shared" si="1"/>
        <v>7</v>
      </c>
    </row>
    <row r="28" spans="1:8" x14ac:dyDescent="0.25">
      <c r="A28" s="4" t="s">
        <v>169</v>
      </c>
      <c r="B28" s="4" t="s">
        <v>159</v>
      </c>
      <c r="C28" s="6">
        <v>46307</v>
      </c>
      <c r="D28" s="6">
        <v>46314</v>
      </c>
      <c r="E28" s="6">
        <v>46314</v>
      </c>
      <c r="F28" s="4" t="s">
        <v>182</v>
      </c>
      <c r="G28" s="4">
        <f t="shared" si="0"/>
        <v>1</v>
      </c>
      <c r="H28" s="4">
        <f t="shared" si="1"/>
        <v>7</v>
      </c>
    </row>
    <row r="29" spans="1:8" x14ac:dyDescent="0.25">
      <c r="A29" s="17" t="s">
        <v>170</v>
      </c>
    </row>
  </sheetData>
  <dataValidations count="1">
    <dataValidation type="list" allowBlank="1" sqref="F20:F28" xr:uid="{00000000-0002-0000-0300-000000000000}">
      <formula1>"Y,N"</formula1>
    </dataValidation>
  </dataValidation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5E2F7-D066-4BD7-8A0B-D303FE5EF7B5}">
  <dimension ref="B1:P6"/>
  <sheetViews>
    <sheetView showGridLines="0" tabSelected="1" workbookViewId="0"/>
  </sheetViews>
  <sheetFormatPr defaultRowHeight="15" x14ac:dyDescent="0.25"/>
  <cols>
    <col min="1" max="1" width="2.7109375" customWidth="1"/>
    <col min="2" max="4" width="11.28515625" customWidth="1"/>
    <col min="5" max="5" width="2.7109375" customWidth="1"/>
    <col min="6" max="8" width="11.28515625" customWidth="1"/>
    <col min="9" max="9" width="2.7109375" customWidth="1"/>
    <col min="10" max="12" width="11.28515625" customWidth="1"/>
    <col min="13" max="13" width="2.7109375" customWidth="1"/>
    <col min="14" max="16" width="11.28515625" customWidth="1"/>
  </cols>
  <sheetData>
    <row r="1" spans="2:16" ht="23.25" x14ac:dyDescent="0.35">
      <c r="B1" s="26" t="s">
        <v>278</v>
      </c>
    </row>
    <row r="2" spans="2:16" x14ac:dyDescent="0.25">
      <c r="B2" s="27" t="s">
        <v>279</v>
      </c>
    </row>
    <row r="4" spans="2:16" x14ac:dyDescent="0.25">
      <c r="B4" s="28" t="s">
        <v>280</v>
      </c>
      <c r="C4" s="28"/>
      <c r="D4" s="28"/>
      <c r="F4" s="28" t="s">
        <v>116</v>
      </c>
      <c r="G4" s="28"/>
      <c r="H4" s="28"/>
      <c r="J4" s="28" t="s">
        <v>283</v>
      </c>
      <c r="K4" s="28"/>
      <c r="L4" s="28"/>
      <c r="N4" s="28" t="s">
        <v>285</v>
      </c>
      <c r="O4" s="28"/>
      <c r="P4" s="28"/>
    </row>
    <row r="5" spans="2:16" ht="33.950000000000003" customHeight="1" x14ac:dyDescent="0.45">
      <c r="B5" s="29">
        <f>AVERAGE(tblPO[cycle_days])</f>
        <v>3.2</v>
      </c>
      <c r="C5" s="29"/>
      <c r="D5" s="29"/>
      <c r="F5" s="31">
        <f>AVERAGE(tblPO[on_time_first_receipt])</f>
        <v>0.8</v>
      </c>
      <c r="G5" s="31"/>
      <c r="H5" s="31"/>
      <c r="J5" s="31">
        <f>COUNTIFS(tblMO[state],"done",tblMO[on_plan],1)/COUNTIFS(tblMO[state],"done")</f>
        <v>1</v>
      </c>
      <c r="K5" s="31"/>
      <c r="L5" s="31"/>
      <c r="N5" s="32">
        <f>AVERAGE(tblShip[shipping_cost])</f>
        <v>22.704444444444444</v>
      </c>
      <c r="O5" s="32"/>
      <c r="P5" s="32"/>
    </row>
    <row r="6" spans="2:16" x14ac:dyDescent="0.25">
      <c r="B6" s="30" t="s">
        <v>281</v>
      </c>
      <c r="C6" s="30"/>
      <c r="D6" s="30"/>
      <c r="F6" s="30" t="s">
        <v>282</v>
      </c>
      <c r="G6" s="30"/>
      <c r="H6" s="30"/>
      <c r="J6" s="30" t="s">
        <v>284</v>
      </c>
      <c r="K6" s="30"/>
      <c r="L6" s="30"/>
      <c r="N6" s="30" t="s">
        <v>286</v>
      </c>
      <c r="O6" s="30"/>
      <c r="P6" s="30"/>
    </row>
  </sheetData>
  <mergeCells count="12">
    <mergeCell ref="J4:L4"/>
    <mergeCell ref="J5:L5"/>
    <mergeCell ref="J6:L6"/>
    <mergeCell ref="N4:P4"/>
    <mergeCell ref="N5:P5"/>
    <mergeCell ref="N6:P6"/>
    <mergeCell ref="B4:D4"/>
    <mergeCell ref="B5:D5"/>
    <mergeCell ref="B6:D6"/>
    <mergeCell ref="F4:H4"/>
    <mergeCell ref="F5:H5"/>
    <mergeCell ref="F6:H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79111-ABDF-4A3D-B5B7-9689D55F5E45}">
  <dimension ref="A1:Q41"/>
  <sheetViews>
    <sheetView workbookViewId="0"/>
  </sheetViews>
  <sheetFormatPr defaultRowHeight="15" x14ac:dyDescent="0.25"/>
  <cols>
    <col min="1" max="1" width="60.42578125" bestFit="1" customWidth="1"/>
    <col min="2" max="2" width="24.42578125" bestFit="1" customWidth="1"/>
    <col min="3" max="3" width="30.28515625" bestFit="1" customWidth="1"/>
    <col min="4" max="4" width="24.5703125" bestFit="1" customWidth="1"/>
    <col min="5" max="5" width="16.140625" bestFit="1" customWidth="1"/>
    <col min="6" max="6" width="14.85546875" bestFit="1" customWidth="1"/>
    <col min="7" max="7" width="15.5703125" bestFit="1" customWidth="1"/>
    <col min="8" max="8" width="18.5703125" bestFit="1" customWidth="1"/>
    <col min="9" max="9" width="21.140625" bestFit="1" customWidth="1"/>
    <col min="10" max="10" width="15" bestFit="1" customWidth="1"/>
    <col min="11" max="11" width="22.85546875" bestFit="1" customWidth="1"/>
    <col min="12" max="12" width="12.140625" bestFit="1" customWidth="1"/>
    <col min="15" max="15" width="24.5703125" bestFit="1" customWidth="1"/>
    <col min="16" max="16" width="8.140625" bestFit="1" customWidth="1"/>
    <col min="17" max="17" width="17.28515625" bestFit="1" customWidth="1"/>
  </cols>
  <sheetData>
    <row r="1" spans="1:17" ht="15.75" x14ac:dyDescent="0.25">
      <c r="A1" s="18" t="s">
        <v>186</v>
      </c>
      <c r="O1" s="18" t="s">
        <v>271</v>
      </c>
    </row>
    <row r="2" spans="1:17" x14ac:dyDescent="0.25">
      <c r="A2" t="s">
        <v>187</v>
      </c>
      <c r="B2" t="s">
        <v>188</v>
      </c>
      <c r="C2" t="s">
        <v>189</v>
      </c>
      <c r="D2" t="s">
        <v>190</v>
      </c>
      <c r="E2" t="s">
        <v>191</v>
      </c>
      <c r="F2" t="s">
        <v>192</v>
      </c>
      <c r="G2" t="s">
        <v>193</v>
      </c>
      <c r="H2" t="s">
        <v>194</v>
      </c>
      <c r="I2" t="s">
        <v>195</v>
      </c>
      <c r="J2" t="s">
        <v>265</v>
      </c>
      <c r="K2" t="s">
        <v>266</v>
      </c>
      <c r="O2" s="25" t="s">
        <v>128</v>
      </c>
      <c r="P2" s="25" t="s">
        <v>272</v>
      </c>
      <c r="Q2" s="25" t="s">
        <v>273</v>
      </c>
    </row>
    <row r="3" spans="1:17" x14ac:dyDescent="0.25">
      <c r="A3" s="19" t="s">
        <v>135</v>
      </c>
      <c r="B3" s="19" t="s">
        <v>196</v>
      </c>
      <c r="C3" s="20">
        <v>46304</v>
      </c>
      <c r="D3" s="20">
        <v>46309</v>
      </c>
      <c r="E3" s="20">
        <v>46311</v>
      </c>
      <c r="F3" s="21">
        <v>146</v>
      </c>
      <c r="G3" s="21">
        <v>146</v>
      </c>
      <c r="H3" s="22">
        <v>981</v>
      </c>
      <c r="I3" s="22">
        <v>1039.8599999999999</v>
      </c>
      <c r="J3" s="24">
        <f>tblPO[[#This Row],[fully_received]]-tblPO[[#This Row],[confirmed]]</f>
        <v>7</v>
      </c>
      <c r="K3" s="24">
        <f>IF(_xlfn.MINIFS(tblReceipts[received],tblReceipts[po],tblPO[[#This Row],[po]])&lt;=tblPO[[#This Row],[vendor_confirmed_due]],1,0)</f>
        <v>0</v>
      </c>
      <c r="O3" t="s">
        <v>196</v>
      </c>
      <c r="P3">
        <f>COUNTIFS(tblReceipts[vendor],O3,tblReceipts[on_time],1)</f>
        <v>0</v>
      </c>
      <c r="Q3">
        <f>COUNTIFS(tblReceipts[vendor],O3,tblReceipts[on_time],0)</f>
        <v>2</v>
      </c>
    </row>
    <row r="4" spans="1:17" x14ac:dyDescent="0.25">
      <c r="A4" s="19" t="s">
        <v>137</v>
      </c>
      <c r="B4" s="19" t="s">
        <v>197</v>
      </c>
      <c r="C4" s="20">
        <v>46304</v>
      </c>
      <c r="D4" s="20">
        <v>46307</v>
      </c>
      <c r="E4" s="20">
        <v>46307</v>
      </c>
      <c r="F4" s="21">
        <v>305</v>
      </c>
      <c r="G4" s="21">
        <v>305</v>
      </c>
      <c r="H4" s="22">
        <v>1089.2</v>
      </c>
      <c r="I4" s="22">
        <v>1154.55</v>
      </c>
      <c r="J4" s="24">
        <f>tblPO[[#This Row],[fully_received]]-tblPO[[#This Row],[confirmed]]</f>
        <v>3</v>
      </c>
      <c r="K4" s="24">
        <f>IF(_xlfn.MINIFS(tblReceipts[received],tblReceipts[po],tblPO[[#This Row],[po]])&lt;=tblPO[[#This Row],[vendor_confirmed_due]],1,0)</f>
        <v>1</v>
      </c>
      <c r="O4" t="s">
        <v>197</v>
      </c>
      <c r="P4">
        <f>COUNTIFS(tblReceipts[vendor],O4,tblReceipts[on_time],1)</f>
        <v>1</v>
      </c>
      <c r="Q4">
        <f>COUNTIFS(tblReceipts[vendor],O4,tblReceipts[on_time],0)</f>
        <v>0</v>
      </c>
    </row>
    <row r="5" spans="1:17" x14ac:dyDescent="0.25">
      <c r="A5" s="19" t="s">
        <v>139</v>
      </c>
      <c r="B5" s="19" t="s">
        <v>198</v>
      </c>
      <c r="C5" s="20">
        <v>46304</v>
      </c>
      <c r="D5" s="20">
        <v>46308</v>
      </c>
      <c r="E5" s="20">
        <v>46308</v>
      </c>
      <c r="F5" s="21">
        <v>290</v>
      </c>
      <c r="G5" s="21">
        <v>290</v>
      </c>
      <c r="H5" s="22">
        <v>921.8</v>
      </c>
      <c r="I5" s="22">
        <v>977.11</v>
      </c>
      <c r="J5" s="24">
        <f>tblPO[[#This Row],[fully_received]]-tblPO[[#This Row],[confirmed]]</f>
        <v>4</v>
      </c>
      <c r="K5" s="24">
        <f>IF(_xlfn.MINIFS(tblReceipts[received],tblReceipts[po],tblPO[[#This Row],[po]])&lt;=tblPO[[#This Row],[vendor_confirmed_due]],1,0)</f>
        <v>1</v>
      </c>
      <c r="O5" t="s">
        <v>198</v>
      </c>
      <c r="P5">
        <f>COUNTIFS(tblReceipts[vendor],O5,tblReceipts[on_time],1)</f>
        <v>1</v>
      </c>
      <c r="Q5">
        <f>COUNTIFS(tblReceipts[vendor],O5,tblReceipts[on_time],0)</f>
        <v>0</v>
      </c>
    </row>
    <row r="6" spans="1:17" x14ac:dyDescent="0.25">
      <c r="A6" s="19" t="s">
        <v>141</v>
      </c>
      <c r="B6" s="19" t="s">
        <v>199</v>
      </c>
      <c r="C6" s="20">
        <v>46304</v>
      </c>
      <c r="D6" s="20">
        <v>46305</v>
      </c>
      <c r="E6" s="20">
        <v>46305</v>
      </c>
      <c r="F6" s="21">
        <v>1744</v>
      </c>
      <c r="G6" s="21">
        <v>1744</v>
      </c>
      <c r="H6" s="22">
        <v>131.84</v>
      </c>
      <c r="I6" s="22">
        <v>139.75</v>
      </c>
      <c r="J6" s="24">
        <f>tblPO[[#This Row],[fully_received]]-tblPO[[#This Row],[confirmed]]</f>
        <v>1</v>
      </c>
      <c r="K6" s="24">
        <f>IF(_xlfn.MINIFS(tblReceipts[received],tblReceipts[po],tblPO[[#This Row],[po]])&lt;=tblPO[[#This Row],[vendor_confirmed_due]],1,0)</f>
        <v>1</v>
      </c>
      <c r="O6" t="s">
        <v>199</v>
      </c>
      <c r="P6">
        <f>COUNTIFS(tblReceipts[vendor],O6,tblReceipts[on_time],1)</f>
        <v>1</v>
      </c>
      <c r="Q6">
        <f>COUNTIFS(tblReceipts[vendor],O6,tblReceipts[on_time],0)</f>
        <v>0</v>
      </c>
    </row>
    <row r="7" spans="1:17" x14ac:dyDescent="0.25">
      <c r="A7" s="19" t="s">
        <v>143</v>
      </c>
      <c r="B7" s="19" t="s">
        <v>200</v>
      </c>
      <c r="C7" s="20">
        <v>46304</v>
      </c>
      <c r="D7" s="20">
        <v>46305</v>
      </c>
      <c r="E7" s="20">
        <v>46305</v>
      </c>
      <c r="F7" s="21">
        <v>215</v>
      </c>
      <c r="G7" s="21">
        <v>215</v>
      </c>
      <c r="H7" s="22">
        <v>236.5</v>
      </c>
      <c r="I7" s="22">
        <v>250.69</v>
      </c>
      <c r="J7" s="24">
        <f>tblPO[[#This Row],[fully_received]]-tblPO[[#This Row],[confirmed]]</f>
        <v>1</v>
      </c>
      <c r="K7" s="24">
        <f>IF(_xlfn.MINIFS(tblReceipts[received],tblReceipts[po],tblPO[[#This Row],[po]])&lt;=tblPO[[#This Row],[vendor_confirmed_due]],1,0)</f>
        <v>1</v>
      </c>
      <c r="O7" t="s">
        <v>200</v>
      </c>
      <c r="P7">
        <f>COUNTIFS(tblReceipts[vendor],O7,tblReceipts[on_time],1)</f>
        <v>1</v>
      </c>
      <c r="Q7">
        <f>COUNTIFS(tblReceipts[vendor],O7,tblReceipts[on_time],0)</f>
        <v>0</v>
      </c>
    </row>
    <row r="10" spans="1:17" ht="15.75" x14ac:dyDescent="0.25">
      <c r="A10" s="18" t="s">
        <v>201</v>
      </c>
      <c r="O10" s="18" t="s">
        <v>274</v>
      </c>
    </row>
    <row r="11" spans="1:17" x14ac:dyDescent="0.25">
      <c r="A11" t="s">
        <v>202</v>
      </c>
      <c r="B11" t="s">
        <v>187</v>
      </c>
      <c r="C11" t="s">
        <v>188</v>
      </c>
      <c r="D11" t="s">
        <v>203</v>
      </c>
      <c r="E11" t="s">
        <v>204</v>
      </c>
      <c r="F11" t="s">
        <v>193</v>
      </c>
      <c r="G11" t="s">
        <v>205</v>
      </c>
      <c r="H11" t="s">
        <v>267</v>
      </c>
      <c r="I11" t="s">
        <v>268</v>
      </c>
      <c r="O11" s="25" t="s">
        <v>275</v>
      </c>
      <c r="P11" s="25" t="s">
        <v>276</v>
      </c>
      <c r="Q11" s="25" t="s">
        <v>277</v>
      </c>
    </row>
    <row r="12" spans="1:17" x14ac:dyDescent="0.25">
      <c r="A12" s="19" t="s">
        <v>206</v>
      </c>
      <c r="B12" s="19" t="s">
        <v>135</v>
      </c>
      <c r="C12" s="19" t="s">
        <v>196</v>
      </c>
      <c r="D12" s="20">
        <v>46309</v>
      </c>
      <c r="E12" s="20">
        <v>46310</v>
      </c>
      <c r="F12" s="21">
        <v>98</v>
      </c>
      <c r="H12" s="24">
        <f>tblReceipts[[#This Row],[received]]-tblReceipts[[#This Row],[due]]</f>
        <v>1</v>
      </c>
      <c r="I12" s="24">
        <f>IF(tblReceipts[[#This Row],[days_vs_due]]&lt;=0,1,0)</f>
        <v>0</v>
      </c>
      <c r="O12" t="s">
        <v>248</v>
      </c>
      <c r="P12">
        <f>COUNTIFS(tblShip[carrier],O12)</f>
        <v>6</v>
      </c>
      <c r="Q12" s="22">
        <f>AVERAGEIFS(tblShip[shipping_cost],tblShip[carrier],O12)</f>
        <v>13.5</v>
      </c>
    </row>
    <row r="13" spans="1:17" x14ac:dyDescent="0.25">
      <c r="A13" s="19" t="s">
        <v>207</v>
      </c>
      <c r="B13" s="19" t="s">
        <v>137</v>
      </c>
      <c r="C13" s="19" t="s">
        <v>197</v>
      </c>
      <c r="D13" s="20">
        <v>46307</v>
      </c>
      <c r="E13" s="20">
        <v>46307</v>
      </c>
      <c r="F13" s="21">
        <v>305</v>
      </c>
      <c r="H13" s="24">
        <f>tblReceipts[[#This Row],[received]]-tblReceipts[[#This Row],[due]]</f>
        <v>0</v>
      </c>
      <c r="I13" s="24">
        <f>IF(tblReceipts[[#This Row],[days_vs_due]]&lt;=0,1,0)</f>
        <v>1</v>
      </c>
      <c r="O13" t="s">
        <v>257</v>
      </c>
      <c r="P13">
        <f>COUNTIFS(tblShip[carrier],O13)</f>
        <v>2</v>
      </c>
      <c r="Q13" s="22">
        <f>AVERAGEIFS(tblShip[shipping_cost],tblShip[carrier],O13)</f>
        <v>26.33</v>
      </c>
    </row>
    <row r="14" spans="1:17" x14ac:dyDescent="0.25">
      <c r="A14" s="19" t="s">
        <v>208</v>
      </c>
      <c r="B14" s="19" t="s">
        <v>139</v>
      </c>
      <c r="C14" s="19" t="s">
        <v>198</v>
      </c>
      <c r="D14" s="20">
        <v>46308</v>
      </c>
      <c r="E14" s="20">
        <v>46308</v>
      </c>
      <c r="F14" s="21">
        <v>290</v>
      </c>
      <c r="H14" s="24">
        <f>tblReceipts[[#This Row],[received]]-tblReceipts[[#This Row],[due]]</f>
        <v>0</v>
      </c>
      <c r="I14" s="24">
        <f>IF(tblReceipts[[#This Row],[days_vs_due]]&lt;=0,1,0)</f>
        <v>1</v>
      </c>
      <c r="O14" t="s">
        <v>262</v>
      </c>
      <c r="P14">
        <f>COUNTIFS(tblShip[carrier],O14)</f>
        <v>1</v>
      </c>
      <c r="Q14" s="22">
        <f>AVERAGEIFS(tblShip[shipping_cost],tblShip[carrier],O14)</f>
        <v>70.680000000000007</v>
      </c>
    </row>
    <row r="15" spans="1:17" x14ac:dyDescent="0.25">
      <c r="A15" s="19" t="s">
        <v>209</v>
      </c>
      <c r="B15" s="19" t="s">
        <v>141</v>
      </c>
      <c r="C15" s="19" t="s">
        <v>199</v>
      </c>
      <c r="D15" s="20">
        <v>46305</v>
      </c>
      <c r="E15" s="20">
        <v>46305</v>
      </c>
      <c r="F15" s="21">
        <v>1744</v>
      </c>
      <c r="H15" s="24">
        <f>tblReceipts[[#This Row],[received]]-tblReceipts[[#This Row],[due]]</f>
        <v>0</v>
      </c>
      <c r="I15" s="24">
        <f>IF(tblReceipts[[#This Row],[days_vs_due]]&lt;=0,1,0)</f>
        <v>1</v>
      </c>
    </row>
    <row r="16" spans="1:17" x14ac:dyDescent="0.25">
      <c r="A16" s="19" t="s">
        <v>210</v>
      </c>
      <c r="B16" s="19" t="s">
        <v>143</v>
      </c>
      <c r="C16" s="19" t="s">
        <v>200</v>
      </c>
      <c r="D16" s="20">
        <v>46305</v>
      </c>
      <c r="E16" s="20">
        <v>46305</v>
      </c>
      <c r="F16" s="21">
        <v>215</v>
      </c>
      <c r="H16" s="24">
        <f>tblReceipts[[#This Row],[received]]-tblReceipts[[#This Row],[due]]</f>
        <v>0</v>
      </c>
      <c r="I16" s="24">
        <f>IF(tblReceipts[[#This Row],[days_vs_due]]&lt;=0,1,0)</f>
        <v>1</v>
      </c>
    </row>
    <row r="17" spans="1:12" x14ac:dyDescent="0.25">
      <c r="A17" s="19" t="s">
        <v>211</v>
      </c>
      <c r="B17" s="19" t="s">
        <v>135</v>
      </c>
      <c r="C17" s="19" t="s">
        <v>196</v>
      </c>
      <c r="D17" s="20">
        <v>46309</v>
      </c>
      <c r="E17" s="20">
        <v>46311</v>
      </c>
      <c r="F17" s="21">
        <v>48</v>
      </c>
      <c r="G17" s="19" t="s">
        <v>206</v>
      </c>
      <c r="H17" s="24">
        <f>tblReceipts[[#This Row],[received]]-tblReceipts[[#This Row],[due]]</f>
        <v>2</v>
      </c>
      <c r="I17" s="24">
        <f>IF(tblReceipts[[#This Row],[days_vs_due]]&lt;=0,1,0)</f>
        <v>0</v>
      </c>
    </row>
    <row r="20" spans="1:12" ht="15.75" x14ac:dyDescent="0.25">
      <c r="A20" s="18" t="s">
        <v>212</v>
      </c>
    </row>
    <row r="21" spans="1:12" x14ac:dyDescent="0.25">
      <c r="A21" t="s">
        <v>213</v>
      </c>
      <c r="B21" t="s">
        <v>214</v>
      </c>
      <c r="C21" t="s">
        <v>215</v>
      </c>
      <c r="D21" t="s">
        <v>216</v>
      </c>
      <c r="E21" t="s">
        <v>217</v>
      </c>
      <c r="F21" t="s">
        <v>218</v>
      </c>
      <c r="G21" t="s">
        <v>219</v>
      </c>
      <c r="H21" t="s">
        <v>220</v>
      </c>
      <c r="I21" t="s">
        <v>221</v>
      </c>
      <c r="J21" t="s">
        <v>269</v>
      </c>
      <c r="K21" t="s">
        <v>270</v>
      </c>
      <c r="L21" t="s">
        <v>287</v>
      </c>
    </row>
    <row r="22" spans="1:12" x14ac:dyDescent="0.25">
      <c r="A22" s="19" t="s">
        <v>222</v>
      </c>
      <c r="B22" s="19" t="s">
        <v>223</v>
      </c>
      <c r="C22" s="21">
        <v>24</v>
      </c>
      <c r="D22" s="21">
        <v>24</v>
      </c>
      <c r="E22" s="19" t="s">
        <v>224</v>
      </c>
      <c r="F22" s="20">
        <v>46304</v>
      </c>
      <c r="G22" s="20">
        <v>46310</v>
      </c>
      <c r="H22" s="20">
        <v>46310</v>
      </c>
      <c r="I22" s="19" t="s">
        <v>54</v>
      </c>
      <c r="J22" s="24">
        <f>IF(tblMO[[#This Row],[state]]="done",tblMO[[#This Row],[finished]]-tblMO[[#This Row],[planned_finish]],NA())</f>
        <v>0</v>
      </c>
      <c r="K22" s="24">
        <f>IF(tblMO[[#This Row],[state]]="done",IF(tblMO[[#This Row],[days_vs_plan]]&lt;=0,1,0),"")</f>
        <v>1</v>
      </c>
      <c r="L22" s="24">
        <f>IF(tblMO[[#This Row],[state]]="done",tblMO[[#This Row],[finished]]-tblMO[[#This Row],[started]],NA())</f>
        <v>6</v>
      </c>
    </row>
    <row r="23" spans="1:12" x14ac:dyDescent="0.25">
      <c r="A23" s="19" t="s">
        <v>225</v>
      </c>
      <c r="B23" s="19" t="s">
        <v>226</v>
      </c>
      <c r="C23" s="21">
        <v>22</v>
      </c>
      <c r="D23" s="21">
        <v>22</v>
      </c>
      <c r="E23" s="19" t="s">
        <v>224</v>
      </c>
      <c r="F23" s="20">
        <v>46304</v>
      </c>
      <c r="G23" s="20">
        <v>46310</v>
      </c>
      <c r="H23" s="20">
        <v>46310</v>
      </c>
      <c r="I23" s="19" t="s">
        <v>54</v>
      </c>
      <c r="J23" s="24">
        <f>IF(tblMO[[#This Row],[state]]="done",tblMO[[#This Row],[finished]]-tblMO[[#This Row],[planned_finish]],NA())</f>
        <v>0</v>
      </c>
      <c r="K23" s="24">
        <f>IF(tblMO[[#This Row],[state]]="done",IF(tblMO[[#This Row],[days_vs_plan]]&lt;=0,1,0),"")</f>
        <v>1</v>
      </c>
      <c r="L23" s="24">
        <f>IF(tblMO[[#This Row],[state]]="done",tblMO[[#This Row],[finished]]-tblMO[[#This Row],[started]],NA())</f>
        <v>6</v>
      </c>
    </row>
    <row r="24" spans="1:12" x14ac:dyDescent="0.25">
      <c r="A24" s="19" t="s">
        <v>227</v>
      </c>
      <c r="B24" s="19" t="s">
        <v>228</v>
      </c>
      <c r="C24" s="21">
        <v>27</v>
      </c>
      <c r="D24" s="21">
        <v>27</v>
      </c>
      <c r="E24" s="19" t="s">
        <v>224</v>
      </c>
      <c r="F24" s="20">
        <v>46304</v>
      </c>
      <c r="G24" s="20">
        <v>46307</v>
      </c>
      <c r="H24" s="20">
        <v>46307</v>
      </c>
      <c r="I24" s="19" t="s">
        <v>43</v>
      </c>
      <c r="J24" s="24">
        <f>IF(tblMO[[#This Row],[state]]="done",tblMO[[#This Row],[finished]]-tblMO[[#This Row],[planned_finish]],NA())</f>
        <v>0</v>
      </c>
      <c r="K24" s="24">
        <f>IF(tblMO[[#This Row],[state]]="done",IF(tblMO[[#This Row],[days_vs_plan]]&lt;=0,1,0),"")</f>
        <v>1</v>
      </c>
      <c r="L24" s="24">
        <f>IF(tblMO[[#This Row],[state]]="done",tblMO[[#This Row],[finished]]-tblMO[[#This Row],[started]],NA())</f>
        <v>3</v>
      </c>
    </row>
    <row r="25" spans="1:12" x14ac:dyDescent="0.25">
      <c r="A25" s="19" t="s">
        <v>229</v>
      </c>
      <c r="B25" s="19" t="s">
        <v>230</v>
      </c>
      <c r="C25" s="21">
        <v>22</v>
      </c>
      <c r="D25" s="21">
        <v>0</v>
      </c>
      <c r="E25" s="19" t="s">
        <v>231</v>
      </c>
      <c r="F25" s="20">
        <v>46304</v>
      </c>
      <c r="G25" s="20">
        <v>46308</v>
      </c>
      <c r="H25" s="20">
        <v>46308</v>
      </c>
      <c r="I25" s="19" t="s">
        <v>232</v>
      </c>
      <c r="J25" s="24" t="e">
        <f>IF(tblMO[[#This Row],[state]]="done",tblMO[[#This Row],[finished]]-tblMO[[#This Row],[planned_finish]],NA())</f>
        <v>#N/A</v>
      </c>
      <c r="K25" s="24" t="str">
        <f>IF(tblMO[[#This Row],[state]]="done",IF(tblMO[[#This Row],[days_vs_plan]]&lt;=0,1,0),"")</f>
        <v/>
      </c>
      <c r="L25" s="24" t="e">
        <f>IF(tblMO[[#This Row],[state]]="done",tblMO[[#This Row],[finished]]-tblMO[[#This Row],[started]],NA())</f>
        <v>#N/A</v>
      </c>
    </row>
    <row r="26" spans="1:12" x14ac:dyDescent="0.25">
      <c r="A26" s="19" t="s">
        <v>233</v>
      </c>
      <c r="B26" s="19" t="s">
        <v>230</v>
      </c>
      <c r="C26" s="21">
        <v>22</v>
      </c>
      <c r="D26" s="21">
        <v>22</v>
      </c>
      <c r="E26" s="19" t="s">
        <v>224</v>
      </c>
      <c r="F26" s="20">
        <v>46308</v>
      </c>
      <c r="G26" s="20">
        <v>46308</v>
      </c>
      <c r="H26" s="20">
        <v>46308</v>
      </c>
      <c r="I26" s="19" t="s">
        <v>234</v>
      </c>
      <c r="J26" s="24">
        <f>IF(tblMO[[#This Row],[state]]="done",tblMO[[#This Row],[finished]]-tblMO[[#This Row],[planned_finish]],NA())</f>
        <v>0</v>
      </c>
      <c r="K26" s="24">
        <f>IF(tblMO[[#This Row],[state]]="done",IF(tblMO[[#This Row],[days_vs_plan]]&lt;=0,1,0),"")</f>
        <v>1</v>
      </c>
      <c r="L26" s="24">
        <f>IF(tblMO[[#This Row],[state]]="done",tblMO[[#This Row],[finished]]-tblMO[[#This Row],[started]],NA())</f>
        <v>0</v>
      </c>
    </row>
    <row r="27" spans="1:12" x14ac:dyDescent="0.25">
      <c r="A27" s="19" t="s">
        <v>235</v>
      </c>
      <c r="B27" s="19" t="s">
        <v>223</v>
      </c>
      <c r="C27" s="21">
        <v>11</v>
      </c>
      <c r="D27" s="21">
        <v>11</v>
      </c>
      <c r="E27" s="19" t="s">
        <v>224</v>
      </c>
      <c r="F27" s="20">
        <v>46308</v>
      </c>
      <c r="G27" s="20">
        <v>46310</v>
      </c>
      <c r="H27" s="20">
        <v>46310</v>
      </c>
      <c r="I27" s="19" t="s">
        <v>54</v>
      </c>
      <c r="J27" s="24">
        <f>IF(tblMO[[#This Row],[state]]="done",tblMO[[#This Row],[finished]]-tblMO[[#This Row],[planned_finish]],NA())</f>
        <v>0</v>
      </c>
      <c r="K27" s="24">
        <f>IF(tblMO[[#This Row],[state]]="done",IF(tblMO[[#This Row],[days_vs_plan]]&lt;=0,1,0),"")</f>
        <v>1</v>
      </c>
      <c r="L27" s="24">
        <f>IF(tblMO[[#This Row],[state]]="done",tblMO[[#This Row],[finished]]-tblMO[[#This Row],[started]],NA())</f>
        <v>2</v>
      </c>
    </row>
    <row r="28" spans="1:12" x14ac:dyDescent="0.25">
      <c r="A28" s="19" t="s">
        <v>236</v>
      </c>
      <c r="B28" s="19" t="s">
        <v>228</v>
      </c>
      <c r="C28" s="21">
        <v>12</v>
      </c>
      <c r="D28" s="21">
        <v>12</v>
      </c>
      <c r="E28" s="19" t="s">
        <v>224</v>
      </c>
      <c r="F28" s="20">
        <v>46308</v>
      </c>
      <c r="G28" s="20">
        <v>46310</v>
      </c>
      <c r="H28" s="20">
        <v>46310</v>
      </c>
      <c r="I28" s="19" t="s">
        <v>54</v>
      </c>
      <c r="J28" s="24">
        <f>IF(tblMO[[#This Row],[state]]="done",tblMO[[#This Row],[finished]]-tblMO[[#This Row],[planned_finish]],NA())</f>
        <v>0</v>
      </c>
      <c r="K28" s="24">
        <f>IF(tblMO[[#This Row],[state]]="done",IF(tblMO[[#This Row],[days_vs_plan]]&lt;=0,1,0),"")</f>
        <v>1</v>
      </c>
      <c r="L28" s="24">
        <f>IF(tblMO[[#This Row],[state]]="done",tblMO[[#This Row],[finished]]-tblMO[[#This Row],[started]],NA())</f>
        <v>2</v>
      </c>
    </row>
    <row r="31" spans="1:12" ht="15.75" x14ac:dyDescent="0.25">
      <c r="A31" s="18" t="s">
        <v>237</v>
      </c>
    </row>
    <row r="32" spans="1:12" x14ac:dyDescent="0.25">
      <c r="A32" t="s">
        <v>238</v>
      </c>
      <c r="B32" t="s">
        <v>239</v>
      </c>
      <c r="C32" t="s">
        <v>240</v>
      </c>
      <c r="D32" t="s">
        <v>241</v>
      </c>
      <c r="E32" t="s">
        <v>242</v>
      </c>
      <c r="F32" t="s">
        <v>243</v>
      </c>
      <c r="G32" t="s">
        <v>244</v>
      </c>
      <c r="H32" t="s">
        <v>245</v>
      </c>
    </row>
    <row r="33" spans="1:8" x14ac:dyDescent="0.25">
      <c r="A33" s="19" t="s">
        <v>246</v>
      </c>
      <c r="B33" s="19" t="s">
        <v>154</v>
      </c>
      <c r="C33" s="19" t="s">
        <v>155</v>
      </c>
      <c r="D33" s="19" t="s">
        <v>247</v>
      </c>
      <c r="E33" s="19" t="s">
        <v>248</v>
      </c>
      <c r="F33" s="23">
        <v>20.399999999999999</v>
      </c>
      <c r="G33" s="22">
        <v>13.5</v>
      </c>
      <c r="H33" s="20">
        <v>46312</v>
      </c>
    </row>
    <row r="34" spans="1:8" x14ac:dyDescent="0.25">
      <c r="A34" s="19" t="s">
        <v>249</v>
      </c>
      <c r="B34" s="19" t="s">
        <v>156</v>
      </c>
      <c r="C34" s="19" t="s">
        <v>157</v>
      </c>
      <c r="D34" s="19" t="s">
        <v>250</v>
      </c>
      <c r="E34" s="19" t="s">
        <v>248</v>
      </c>
      <c r="F34" s="23">
        <v>32.5</v>
      </c>
      <c r="G34" s="22">
        <v>13.5</v>
      </c>
      <c r="H34" s="20">
        <v>46312</v>
      </c>
    </row>
    <row r="35" spans="1:8" x14ac:dyDescent="0.25">
      <c r="A35" s="19" t="s">
        <v>251</v>
      </c>
      <c r="B35" s="19" t="s">
        <v>158</v>
      </c>
      <c r="C35" s="19" t="s">
        <v>159</v>
      </c>
      <c r="D35" s="19" t="s">
        <v>252</v>
      </c>
      <c r="E35" s="19" t="s">
        <v>248</v>
      </c>
      <c r="F35" s="23">
        <v>20.2</v>
      </c>
      <c r="G35" s="22">
        <v>13.5</v>
      </c>
      <c r="H35" s="20">
        <v>46312</v>
      </c>
    </row>
    <row r="36" spans="1:8" x14ac:dyDescent="0.25">
      <c r="A36" s="19" t="s">
        <v>253</v>
      </c>
      <c r="B36" s="19" t="s">
        <v>160</v>
      </c>
      <c r="C36" s="19" t="s">
        <v>161</v>
      </c>
      <c r="D36" s="19" t="s">
        <v>254</v>
      </c>
      <c r="E36" s="19" t="s">
        <v>248</v>
      </c>
      <c r="F36" s="23">
        <v>23.8</v>
      </c>
      <c r="G36" s="22">
        <v>13.5</v>
      </c>
      <c r="H36" s="20">
        <v>46313</v>
      </c>
    </row>
    <row r="37" spans="1:8" x14ac:dyDescent="0.25">
      <c r="A37" s="19" t="s">
        <v>255</v>
      </c>
      <c r="B37" s="19" t="s">
        <v>162</v>
      </c>
      <c r="C37" s="19" t="s">
        <v>163</v>
      </c>
      <c r="D37" s="19" t="s">
        <v>256</v>
      </c>
      <c r="E37" s="19" t="s">
        <v>257</v>
      </c>
      <c r="F37" s="23">
        <v>13.8</v>
      </c>
      <c r="G37" s="22">
        <v>19.18</v>
      </c>
      <c r="H37" s="20">
        <v>46313</v>
      </c>
    </row>
    <row r="38" spans="1:8" x14ac:dyDescent="0.25">
      <c r="A38" s="19" t="s">
        <v>258</v>
      </c>
      <c r="B38" s="19" t="s">
        <v>164</v>
      </c>
      <c r="C38" s="19" t="s">
        <v>165</v>
      </c>
      <c r="D38" s="19" t="s">
        <v>259</v>
      </c>
      <c r="E38" s="19" t="s">
        <v>257</v>
      </c>
      <c r="F38" s="23">
        <v>26.8</v>
      </c>
      <c r="G38" s="22">
        <v>33.479999999999997</v>
      </c>
      <c r="H38" s="20">
        <v>46313</v>
      </c>
    </row>
    <row r="39" spans="1:8" x14ac:dyDescent="0.25">
      <c r="A39" s="19" t="s">
        <v>260</v>
      </c>
      <c r="B39" s="19" t="s">
        <v>166</v>
      </c>
      <c r="C39" s="19" t="s">
        <v>167</v>
      </c>
      <c r="D39" s="19" t="s">
        <v>261</v>
      </c>
      <c r="E39" s="19" t="s">
        <v>262</v>
      </c>
      <c r="F39" s="23">
        <v>46.2</v>
      </c>
      <c r="G39" s="22">
        <v>70.680000000000007</v>
      </c>
      <c r="H39" s="20">
        <v>46314</v>
      </c>
    </row>
    <row r="40" spans="1:8" x14ac:dyDescent="0.25">
      <c r="A40" s="19" t="s">
        <v>263</v>
      </c>
      <c r="B40" s="19" t="s">
        <v>168</v>
      </c>
      <c r="C40" s="19" t="s">
        <v>155</v>
      </c>
      <c r="D40" s="19" t="s">
        <v>247</v>
      </c>
      <c r="E40" s="19" t="s">
        <v>248</v>
      </c>
      <c r="F40" s="23">
        <v>14.4</v>
      </c>
      <c r="G40" s="22">
        <v>13.5</v>
      </c>
      <c r="H40" s="20">
        <v>46314</v>
      </c>
    </row>
    <row r="41" spans="1:8" x14ac:dyDescent="0.25">
      <c r="A41" s="19" t="s">
        <v>264</v>
      </c>
      <c r="B41" s="19" t="s">
        <v>169</v>
      </c>
      <c r="C41" s="19" t="s">
        <v>159</v>
      </c>
      <c r="D41" s="19" t="s">
        <v>252</v>
      </c>
      <c r="E41" s="19" t="s">
        <v>248</v>
      </c>
      <c r="F41" s="23">
        <v>24</v>
      </c>
      <c r="G41" s="22">
        <v>13.5</v>
      </c>
      <c r="H41" s="20">
        <v>46314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Charter</vt:lpstr>
      <vt:lpstr>Milestones</vt:lpstr>
      <vt:lpstr>RAID</vt:lpstr>
      <vt:lpstr>KPIs</vt:lpstr>
      <vt:lpstr>Dashboard</vt:lpstr>
      <vt:lpstr>Dashboard_Data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Sawandi Kirby</cp:lastModifiedBy>
  <dcterms:created xsi:type="dcterms:W3CDTF">2026-10-11T15:33:00Z</dcterms:created>
  <dcterms:modified xsi:type="dcterms:W3CDTF">2026-10-22T11:40:41Z</dcterms:modified>
</cp:coreProperties>
</file>